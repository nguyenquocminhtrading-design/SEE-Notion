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cer\Desktop\"/>
    </mc:Choice>
  </mc:AlternateContent>
  <xr:revisionPtr revIDLastSave="0" documentId="13_ncr:20001_{B93B7ACF-DCED-4B5D-AAC0-4A6A9F6C866C}" xr6:coauthVersionLast="47" xr6:coauthVersionMax="47" xr10:uidLastSave="{00000000-0000-0000-0000-000000000000}"/>
  <bookViews>
    <workbookView xWindow="-108" yWindow="-108" windowWidth="23256" windowHeight="12456" firstSheet="2" activeTab="4" xr2:uid="{00000000-000D-0000-FFFF-FFFF00000000}"/>
  </bookViews>
  <sheets>
    <sheet name="data" sheetId="1" r:id="rId1"/>
    <sheet name="Program event " sheetId="2" r:id="rId2"/>
    <sheet name="Media - Graphic Designer" sheetId="3" r:id="rId3"/>
    <sheet name="LogFin - Finance Associate" sheetId="4" r:id="rId4"/>
    <sheet name="Human Resource - Executive Assi" sheetId="5" r:id="rId5"/>
  </sheets>
  <definedNames>
    <definedName name="_xlnm._FilterDatabase" localSheetId="4" hidden="1">'Human Resource - Executive Assi'!$A$9:$H$9</definedName>
    <definedName name="_xlnm._FilterDatabase" localSheetId="1" hidden="1">'Program event '!$A$11:$G$30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 l="1" a="1"/>
  <c r="A4" i="2" s="1"/>
  <c r="A4" i="5" a="1"/>
  <c r="A4" i="5" s="1"/>
  <c r="A4" i="4" a="1"/>
  <c r="A4" i="4" s="1"/>
  <c r="A4" i="3" a="1"/>
  <c r="A4" i="3" s="1"/>
  <c r="A11" i="1" a="1"/>
  <c r="A1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<sst xmlns="http://schemas.openxmlformats.org/spreadsheetml/2006/main" count="588" uniqueCount="360">
  <si>
    <t>Timestamp</t>
  </si>
  <si>
    <t>Your full name</t>
  </si>
  <si>
    <t>Your Program</t>
  </si>
  <si>
    <t>Intake</t>
  </si>
  <si>
    <t>Your VGU Email Address (@student.vgu.edu.vn)</t>
  </si>
  <si>
    <t>Your Facebook link (for contact)</t>
  </si>
  <si>
    <t>Your number (for contact)</t>
  </si>
  <si>
    <t>Where do you stay at the moment?</t>
  </si>
  <si>
    <r>
      <t>Vị trí (ban) bạn mong muốn tham gia</t>
    </r>
    <r>
      <rPr>
        <i/>
        <sz val="10"/>
        <color theme="1"/>
        <rFont val="Arial"/>
        <family val="2"/>
      </rPr>
      <t xml:space="preserve">
"The role you want to participate?"</t>
    </r>
  </si>
  <si>
    <r>
      <t xml:space="preserve">Gửi CV theo vị trí bạn muốn tham gia : </t>
    </r>
    <r>
      <rPr>
        <i/>
        <sz val="10"/>
        <color theme="1"/>
        <rFont val="Arial"/>
        <family val="2"/>
      </rPr>
      <t xml:space="preserve">
"Send the CV for the selected roles " </t>
    </r>
    <r>
      <rPr>
        <sz val="10"/>
        <color theme="1"/>
        <rFont val="Arial"/>
        <family val="2"/>
      </rPr>
      <t xml:space="preserve">
If you don't have experience yet, remember: a CV isn't just a list of jobs, it's a snapshot of who you are. Tell us about the projects you've tinkered with, your passions,... We value a professional CV as much as a CV with individuality. </t>
    </r>
  </si>
  <si>
    <r>
      <t xml:space="preserve">Bạn mong muốn học được gì trong quá trình tham gia SEE? </t>
    </r>
    <r>
      <rPr>
        <i/>
        <sz val="10"/>
        <color theme="1"/>
        <rFont val="Arial"/>
        <family val="2"/>
      </rPr>
      <t xml:space="preserve">
" What do you expect to learn when joining SEE club  "</t>
    </r>
  </si>
  <si>
    <r>
      <t>Bạn có thể dành bao nhiêu giờ mỗi tuần cho hoạt động câu lạc bộ?</t>
    </r>
    <r>
      <rPr>
        <i/>
        <sz val="10"/>
        <color theme="1"/>
        <rFont val="Arial"/>
        <family val="2"/>
      </rPr>
      <t xml:space="preserve">
" How many hours per week can you dedicate to club activities?"</t>
    </r>
  </si>
  <si>
    <r>
      <t xml:space="preserve">Bạn có kinh nghiệm làm việc liên quan đến vị trí bạn ứng tuyển không? </t>
    </r>
    <r>
      <rPr>
        <i/>
        <sz val="10"/>
        <color theme="1"/>
        <rFont val="Arial"/>
        <family val="2"/>
      </rPr>
      <t xml:space="preserve">
(Nếu có: mô tả ngắn gọn)
" Do you have any relevant experience for your role , if yes, please describe shortly"</t>
    </r>
  </si>
  <si>
    <r>
      <t xml:space="preserve">Bạn đã từng tham gia dự án nghiên cứu, chế tạo, hay cuộc thi kỹ thuật nào chưa? </t>
    </r>
    <r>
      <rPr>
        <i/>
        <sz val="10"/>
        <color theme="1"/>
        <rFont val="Arial"/>
        <family val="2"/>
      </rPr>
      <t xml:space="preserve">
(Nếu có: mô tả ngắn gọn) 
"Have you ever participated in a research or manufacturing project, or an engineering competition, if yes, please describe shortly"</t>
    </r>
  </si>
  <si>
    <r>
      <t>Bạn có câu hỏi hay mong muốn gì khi tham gia SEE không ?</t>
    </r>
    <r>
      <rPr>
        <i/>
        <sz val="10"/>
        <color theme="1"/>
        <rFont val="Arial"/>
        <family val="2"/>
      </rPr>
      <t xml:space="preserve">
"Do you have any furthur question ?"</t>
    </r>
  </si>
  <si>
    <t>Nguyễn Minh Thảo Nguyên</t>
  </si>
  <si>
    <t>CSE</t>
  </si>
  <si>
    <t>10426079@student.vgu.edu.vn</t>
  </si>
  <si>
    <t>https://www.facebook.com/minhthaonguyen.nguyen.16/</t>
  </si>
  <si>
    <t>0896654007</t>
  </si>
  <si>
    <t>VGU Dorm</t>
  </si>
  <si>
    <t>Program (Event Coordinator / On-site Coordinator)</t>
  </si>
  <si>
    <t>https://drive.google.com/open?id=1qd5Zh8VnByGXhQMhX8gSxTwHZ5Ty_eeZ</t>
  </si>
  <si>
    <t xml:space="preserve">Em mong muốn được học hỏi thêm nhiều kiến thức về những giải pháp tối ưu bảo vệ môi trường, đồng thời em cũng muốn trải nghiệm những hoạt động thực tế về môi trường, về những giải pháp xanh. </t>
  </si>
  <si>
    <t>More than 3 hour</t>
  </si>
  <si>
    <t>Dạ không</t>
  </si>
  <si>
    <t>Nguyen Nhat Anh</t>
  </si>
  <si>
    <t>MEN</t>
  </si>
  <si>
    <t>105240380@student.vgu.edu.vn</t>
  </si>
  <si>
    <t>https://www.facebook.com/share/1FigVqwtYX/?mibextid=wwXIfr</t>
  </si>
  <si>
    <t>0918735138</t>
  </si>
  <si>
    <t>Binh Duong (old addresss)</t>
  </si>
  <si>
    <t>Media - Graphic Designer</t>
  </si>
  <si>
    <t>https://drive.google.com/open?id=1vuCe7oLs79JxCj2gJ_6TjGxoiP0vLCiW</t>
  </si>
  <si>
    <t>tham gia dự án</t>
  </si>
  <si>
    <t>2h - 3h</t>
  </si>
  <si>
    <t>vẽ được 1 vài chi tiết như engine và phuộc</t>
  </si>
  <si>
    <t>chưa</t>
  </si>
  <si>
    <t xml:space="preserve">Ko
</t>
  </si>
  <si>
    <t>Trương Gia Đồng</t>
  </si>
  <si>
    <t>SPE</t>
  </si>
  <si>
    <t>11025043@student.vgu.edu.vn</t>
  </si>
  <si>
    <t>https://www.facebook.com/tooji.tomoro.9/</t>
  </si>
  <si>
    <t>0973714939</t>
  </si>
  <si>
    <t>LogFin - Finance Associate</t>
  </si>
  <si>
    <t>https://drive.google.com/open?id=14RMCPmX2a8qEjrMsTl4SaiObEREDgE0v</t>
  </si>
  <si>
    <t>Khả năng quản lý chuỗi cung ứng cũng như công việc liên quan đến máy móc. Vì mình thấy ở các triển lãm của SEE có trưng bày những máy móc rất hay và hợp với sở thích cũng như chuyên ngành của mình</t>
  </si>
  <si>
    <t>Khi mình làm Project liên quan đến quy trình trong nhà máy, mình cũng đã phải tự chạy đi mua các phụ kiện, vật dụng. Mình gọi điện cũng như đi tới tận xưởng để hỏi mua. Công việc rất mệt và đôi khi mình phải làm những công việc khiến mình phải bước ra khỏi comfort zone nhưng mà mình cảm thấy tất cả đều xứng đáng</t>
  </si>
  <si>
    <t>Mình từng tham gia Hackathon cũng như làm Project liên quan đến nhà máy. Project thì như mình nói, mình làm một mô hình thu nhỏ của nhà máy. Hackathon thì mình tham gia cùng một nhóm 5 người để lên kế hoạch tạo sản phẩm tái chế từ rác thải, Hackathon khá khó, vì ko chỉ phải develope một sản phẩm hoàn thiện, mà còn phải làm việc với những người đến từ background khác nhau, nhưng mà mình cảm thấy vui vì học được nhiều điều</t>
  </si>
  <si>
    <t>Nguyễn Thị Ngọc Thùy</t>
  </si>
  <si>
    <t>BCE</t>
  </si>
  <si>
    <t>107240106@student.vgu.edu.vn</t>
  </si>
  <si>
    <t>https://www.facebook.com/ngoc.thuy.807519</t>
  </si>
  <si>
    <t>0347244149</t>
  </si>
  <si>
    <t>Human Resource - Executive Assistant</t>
  </si>
  <si>
    <t>https://drive.google.com/open?id=1FzPDQrrHarmpzjSb-fJb4NUkQff2OwLf</t>
  </si>
  <si>
    <t>Cách SEE vận hành, cũng quá trình lên ý tưởng và hoàn thiện các khía cạnh khác của bản thân</t>
  </si>
  <si>
    <t>1h - 2h</t>
  </si>
  <si>
    <t>Đã từng làm thư ký chi đoàn khi học THPT</t>
  </si>
  <si>
    <t xml:space="preserve">Đã từng tham gia những workshop quy mô nhỏ trong lớp, về thiết kế mô hình lớp học và các cuộc thi từ sản phẩm tái chế xanh </t>
  </si>
  <si>
    <t>Mình hi vọng sẽ có thể trở thành một mảnh ghép tiềm năng ở SEE</t>
  </si>
  <si>
    <t>Phạm Trọng Quý</t>
  </si>
  <si>
    <t>104240232@student.vgu.edu.vn</t>
  </si>
  <si>
    <t>https://www.facebook.com/share/1LfcK8GuuW/</t>
  </si>
  <si>
    <t>0931842367</t>
  </si>
  <si>
    <t>Exchange Student in Germany</t>
  </si>
  <si>
    <t>Trước tiên, mình vào câu lạc bộ vì muốn học hỏi những ý tưởng độc đáo, vì mình quan tâm đến bền vững xanh và muốn học hỏi thêm về nó. Thông qua đó mình cũng muốn học cách làm việc nhóm một cách chuyên nghiệp, có hệ thống nhưng không kém phần vui vẻ từ một câu lạc bộ mới thành lập, vì mình tin đây là lúc mà sẽ cần làm nhiều việc nhất, thông qua đó có thể học được nhiều điều hay từ mọi người xung quanh và quá trình. Cuối cùng mình muốn học được thêm kiến thức và kinh nghiệm khi ứng tuyển vào vị trí Logfin, nơi mình có thể lần đầu tiên đảm nhận một vai trò thực tế ngoài đời, giúp mình có thêm kinh nghiệm và kỹ năng, góp phần tự tin cho định hướng sau này của mình.</t>
  </si>
  <si>
    <t>Chưa từng nhưng mình đang học. Mục tiêu của mình không phải là đảm nhận phần chính về tài chính của câu lạc bộ. Mình muốn là người tổng hợp, ghi báo cáo, hay trình bày các bảng dữ liệu về tình hình tài chính, bất cứ thứ gì mình có thể trực quan hóa lên được. Ngoài ra mình cũng có thể giúp câu lạc bộ về mặt công nghệ, nếu trong khả năng mình sẽ giúp.</t>
  </si>
  <si>
    <t>Mình đã từng tham gia một dự án nghiên cứu về góc nhìn lẫn nhau của trường đại học Việt Đức phối hợp với trường đại học Leipzig ở Đức. Ngoài ra mình tham gia một số cuộc thi thiên về giải case hơn là kĩ thuật.</t>
  </si>
  <si>
    <t>Mình chưa suy nghĩ. Nhưng nếu có câu hỏi mình sẽ hỏi sau. Mình cảm ơn.</t>
  </si>
  <si>
    <t>Lê Nguyễn Châu Anh</t>
  </si>
  <si>
    <t>BME</t>
  </si>
  <si>
    <t>11126005@student.vgu.edu.vn</t>
  </si>
  <si>
    <t>https://www.facebook.com/apinchofsalzz/</t>
  </si>
  <si>
    <t>0889180309</t>
  </si>
  <si>
    <t>https://drive.google.com/open?id=1HAJBHFMuiyHWodvaLbBwWbjfx3OI517q</t>
  </si>
  <si>
    <t>Mình mong muốn được phát triển tầm hiểu biết và đam mê trong các vấn đề về kỹ thuật bền vững.</t>
  </si>
  <si>
    <t>Mình từng làm thành viên nòng cốt ban Chương trình - CLB Văn hóa Đức THPT chuyên Trần Đại Nghĩa 2022 - 2023; Phó Chủ nhiệm kiêm Trưởng ban Chương trình - CLB Văn hóa Đức THPT chuyên Trần Đại Nghĩa 2023 - 2024 ạ.</t>
  </si>
  <si>
    <t>Mình chưa ạ.</t>
  </si>
  <si>
    <t>Phan Hoàng Thanh Dung</t>
  </si>
  <si>
    <t>ARC</t>
  </si>
  <si>
    <t>10826010@student.vgu.edu.vn</t>
  </si>
  <si>
    <t>https://www.facebook.com/dung.phan.772172</t>
  </si>
  <si>
    <t>0906803243</t>
  </si>
  <si>
    <t>https://drive.google.com/open?id=139hQBwjudgI1HZgphjp4-He2Gfs5SoNK</t>
  </si>
  <si>
    <t xml:space="preserve">Em muốn tìm hiểu thêm về các giải pháp kỹ thuật xanh và bền vững, cách hiện thực hoá dự án cộng đồng, học hỏi và tham gia các cuộc thi, dự án với các anh chị, các bạn </t>
  </si>
  <si>
    <t xml:space="preserve">Em từng trong ban Design của nhiều câu lạc bộ: PTNK Science Community, Nguồn Project, NGUOC International, Khám phá khoa học,....
Design portfolio: https://drive.google.com/drive/u/2/folders/1NwqCSL-6a_fD3l8XqBVtclr-j-D6jQWf </t>
  </si>
  <si>
    <t>Dạ chưa</t>
  </si>
  <si>
    <t>Vị trí (ban) bạn mong muốn tham gia
"The role you want to participate?"</t>
  </si>
  <si>
    <t xml:space="preserve">Gửi CV theo vị trí bạn muốn tham gia : 
"Send the CV for the selected roles " 
If you don't have experience yet, remember: a CV isn't just a list of jobs, it's a snapshot of who you are. Tell us about the projects you've tinkered with, your passions,... We value a professional CV as much as a CV with individuality. </t>
  </si>
  <si>
    <t>Bạn mong muốn học được gì trong quá trình tham gia SEE? 
" What do you expect to learn when joining SEE club  "</t>
  </si>
  <si>
    <t>Bạn có thể dành bao nhiêu giờ mỗi tuần cho hoạt động câu lạc bộ?
" How many hours per week can you dedicate to club activities?"</t>
  </si>
  <si>
    <t>Bạn có kinh nghiệm làm việc liên quan đến vị trí bạn ứng tuyển không? 
(Nếu có: mô tả ngắn gọn)
" Do you have any relevant experience for your role , if yes, please describe shortly"</t>
  </si>
  <si>
    <t>Bạn đã từng tham gia dự án nghiên cứu, chế tạo, hay cuộc thi kỹ thuật nào chưa? 
(Nếu có: mô tả ngắn gọn) 
"Have you ever participated in a research or manufacturing project, or an engineering competition, if yes, please describe shortly"</t>
  </si>
  <si>
    <t>Bạn có câu hỏi hay mong muốn gì khi tham gia SEE không ?
"Do you have any furthur question ?"</t>
  </si>
  <si>
    <t>Tất cả</t>
  </si>
  <si>
    <t>Bạn hãy giới thiệu ngắn gọn về bản thân (ngành học, sở thích, điều bạn tự hào nhất)?</t>
  </si>
  <si>
    <t>Khả năng trình bày, sự tự tin, mạch lạc</t>
  </si>
  <si>
    <t>Ngắn gọn 1-2 phút, có điểm nhấn cá nhân, không đọc thuộc lòng</t>
  </si>
  <si>
    <t>Vì sao bạn chọn SEE và chọn ban Program thay vì các ban khác?</t>
  </si>
  <si>
    <t>Động lực, mức độ hiểu về CLB và vị trí</t>
  </si>
  <si>
    <t>Nêu được nhiệm vụ của ban, liên hệ với mục tiêu kỹ thuật xanh/bền vững của SEE</t>
  </si>
  <si>
    <t>Mỗi tuần bạn dành được bao nhiêu giờ? Lịch học và các hoạt động khác của bạn thế nào, nếu trùng với sự kiện thì bạn xử lý ra sao?</t>
  </si>
  <si>
    <t>Cam kết thời gian, khả năng sắp xếp</t>
  </si>
  <si>
    <t>Có kế hoạch cụ thể, trung thực về giới hạn của mình</t>
  </si>
  <si>
    <t>Bạn chưa có kinh nghiệm chính thức, vậy trước giờ bạn đã từng tổ chức hay tham gia một hoạt động nào (lớp, trường, tình nguyện) chưa? Bạn đóng vai trò gì?</t>
  </si>
  <si>
    <t>Khai thác kinh nghiệm không chính thức, tiềm năng học hỏi</t>
  </si>
  <si>
    <t>Biết kể một ví dụ nhỏ nhưng cụ thể, nêu được bài học rút ra</t>
  </si>
  <si>
    <t>Bạn từng là Trưởng ban Chương trình ở CLB Văn hóa Đức. Hãy kể về một sự kiện bạn tự hào nhất: quy mô, vai trò của bạn và kết quả?</t>
  </si>
  <si>
    <t>Xác thực kinh nghiệm, năng lực dẫn dắt</t>
  </si>
  <si>
    <t>Có số liệu (người tham dự, số thành viên), phân biệt được phần mình làm và phần của team</t>
  </si>
  <si>
    <t>PHẦN 2: KỸ NĂNG CHUYÊN MÔN CHO VỊ TRÍ</t>
  </si>
  <si>
    <t>Hãy mô tả các bước bạn sẽ làm để lên kế hoạch một sự kiện, từ lúc có ý tưởng đến khi tổng kết.</t>
  </si>
  <si>
    <t>Tư duy quy trình, lập kế hoạch</t>
  </si>
  <si>
    <t>Có các mốc: mục tiêu, ngân sách, timeline, phân công, truyền thông, chạy thử, vận hành, tổng kết</t>
  </si>
  <si>
    <t>Run-down (kịch bản chương trình) gồm những thông tin gì? Bạn sẽ làm thế nào để cả team và khách mời cùng bám sát nó?</t>
  </si>
  <si>
    <t>Kỹ năng xây dựng kịch bản, chi tiết</t>
  </si>
  <si>
    <t>Có mốc giờ, người phụ trách, thiết bị, phương án dự phòng, họp briefing trước sự kiện</t>
  </si>
  <si>
    <t>Bạn sẽ cần gì từ các ban Media, LogFin và HR để tổ chức một sự kiện, và bạn sẽ phối hợp với họ thế nào?</t>
  </si>
  <si>
    <t>Kỹ năng phối hợp liên ban</t>
  </si>
  <si>
    <t>Nêu được đầu ra/đầu vào cụ thể (poster, ngân sách, nhân sự) và deadline rõ ràng</t>
  </si>
  <si>
    <t>Hãy đề xuất một hoạt động tương tác về môi trường hoặc kỹ thuật xanh cho sinh viên VGU với ngân sách hạn chế.</t>
  </si>
  <si>
    <t>Sáng tạo, hiểu chủ đề SEE, tính khả thi</t>
  </si>
  <si>
    <t>Ý tưởng có mục tiêu, đối tượng, cách tham gia, vật liệu tái chế/chi phí thấp</t>
  </si>
  <si>
    <t>Bạn dùng công cụ nào để quản lý công việc và theo dõi tiến độ (Trello, Notion, Google Sheets…)? Hãy mô tả cách dùng.</t>
  </si>
  <si>
    <t>Kỹ năng tổ chức, công cụ</t>
  </si>
  <si>
    <t>Biết ít nhất một công cụ, biết chia task, người phụ trách, hạn chót</t>
  </si>
  <si>
    <t>Theo bạn, thế nào là một sự kiện thành công? Bạn sẽ đo lường điều đó bằng cách nào?</t>
  </si>
  <si>
    <t>Tư duy kết quả, đánh giá</t>
  </si>
  <si>
    <t>Có chỉ số (số người, khảo sát, phản hồi, đạt mục tiêu) chứ không chỉ cảm nhận</t>
  </si>
  <si>
    <t>PHẦN 3: XỬ LÝ TÌNH HUỐNG</t>
  </si>
  <si>
    <t>Còn 30 phút nữa sự kiện bắt đầu thì diễn giả báo sẽ đến trễ 40 phút. Bạn xử lý thế nào?</t>
  </si>
  <si>
    <t>Ứng biến, giao tiếp dưới áp lực</t>
  </si>
  <si>
    <t>Giữ bình tĩnh, có phương án lấp khoảng trống (đổi thứ tự, hoạt động khởi động), thông báo cho MC/team</t>
  </si>
  <si>
    <t>Sự kiện ngoài trời bắt đầu thì trời mưa lớn, trong khi không có phương án dự phòng. Bạn làm gì?</t>
  </si>
  <si>
    <t>Quản lý rủi ro</t>
  </si>
  <si>
    <t>Quyết định nhanh, chuyển địa điểm/lùi giờ, báo khách, ưu tiên an toàn; rút kinh nghiệm lập plan B</t>
  </si>
  <si>
    <t>Số người đăng ký đến tham dự nhiều gấp đôi dự kiến, thiếu ghế và vật phẩm. Bạn xử lý thế nào?</t>
  </si>
  <si>
    <t>Linh hoạt, phân bổ nguồn lực</t>
  </si>
  <si>
    <t>Mở thêm khu vực, chia đợt, điều phối nhân sự, giữ trải nghiệm khách</t>
  </si>
  <si>
    <t>Hai thành viên trong ban của bạn mâu thuẫn, khiến tiến độ chậm và chỉ còn 2 ngày đến sự kiện. Bạn làm gì?</t>
  </si>
  <si>
    <t>Xử lý xung đột, lãnh đạo</t>
  </si>
  <si>
    <t>Nói chuyện riêng từng người, tách việc rõ ràng, ưu tiên mục tiêu chung, báo lại trưởng ban nếu cần</t>
  </si>
  <si>
    <t>Đang chạy chương trình thì máy chiếu/âm thanh hỏng. Bạn phản ứng thế nào?</t>
  </si>
  <si>
    <t>Xử lý sự cố tại chỗ (on-site)</t>
  </si>
  <si>
    <t>Có người phụ trách kỹ thuật, giữ trật tự, chuyển phương án, không để khán giả chờ lâu</t>
  </si>
  <si>
    <t>STT</t>
  </si>
  <si>
    <t>Áp dụng cho</t>
  </si>
  <si>
    <t>Câu hỏi</t>
  </si>
  <si>
    <t>Mục đích đánh giá</t>
  </si>
  <si>
    <t>Gợi ý câu trả lời tốt</t>
  </si>
  <si>
    <t>Điểm (1-5)</t>
  </si>
  <si>
    <t>Ghi chú</t>
  </si>
  <si>
    <t>PHẦN 1: GIỚI THIỆU BẢN THÂN</t>
  </si>
  <si>
    <r>
      <t xml:space="preserve">Bạn mong muốn học được gì trong quá trình tham gia SEE? </t>
    </r>
    <r>
      <rPr>
        <i/>
        <sz val="10"/>
        <color theme="1"/>
        <rFont val="Calibri"/>
        <family val="2"/>
      </rPr>
      <t xml:space="preserve">
" What do you expect to learn when joining SEE club  "</t>
    </r>
  </si>
  <si>
    <r>
      <t>Bạn có câu hỏi hay mong muốn gì khi tham gia SEE không ?</t>
    </r>
    <r>
      <rPr>
        <i/>
        <sz val="10"/>
        <color theme="1"/>
        <rFont val="Calibri"/>
        <family val="2"/>
      </rPr>
      <t xml:space="preserve">
"Do you have any furthur question ?"</t>
    </r>
  </si>
  <si>
    <t>Bạn hãy giới thiệu ngắn gọn về bản thân và vì sao bạn chọn ban Media - Graphic Design của SEE?</t>
  </si>
  <si>
    <t>Động lực, khả năng trình bày</t>
  </si>
  <si>
    <t>Rõ ràng, có đam mê thiết kế, liên hệ với SEE</t>
  </si>
  <si>
    <t>Phong cách thiết kế bạn yêu thích là gì và nguồn cảm hứng của bạn đến từ đâu?</t>
  </si>
  <si>
    <t>Gu thẩm mỹ, sự chủ động học hỏi</t>
  </si>
  <si>
    <t>Nêu được ví dụ cụ thể, nhà thiết kế/thương hiệu tham khảo</t>
  </si>
  <si>
    <t>Mỗi tuần bạn dành được bao nhiêu giờ? Bạn sắp xếp khi có nhiều đơn thiết kế cùng lúc thế nào?</t>
  </si>
  <si>
    <t>Cam kết thời gian</t>
  </si>
  <si>
    <t>Thực tế, có cách ưu tiên và báo trước khi quá tải</t>
  </si>
  <si>
    <t>Bạn ghi là vẽ được các chi tiết như engine và phuộc. Bạn vẽ bằng công cụ gì (vẽ tay, CAD, phần mềm đồ họa)? Hãy kể về một bản vẽ bạn thấy hài lòng nhất.</t>
  </si>
  <si>
    <t>Xác định nền tảng kỹ năng, chuyển đổi sang đồ họa</t>
  </si>
  <si>
    <t>Mô tả được công cụ, quy trình; sẵn sàng học thêm Photoshop/Illustrator/Canva</t>
  </si>
  <si>
    <t>Trong portfolio của bạn, hãy chọn một sản phẩm tự hào nhất và kể về brief, vai trò và kết quả.</t>
  </si>
  <si>
    <t>Xác thực portfolio, tư duy thiết kế</t>
  </si>
  <si>
    <t>Nói rõ phần mình làm, quy trình và phản hồi nhận được</t>
  </si>
  <si>
    <t>Bạn sử dụng những phần mềm thiết kế nào (Photoshop, Illustrator, Figma, Canva…) và mức độ thành thạo của bạn?</t>
  </si>
  <si>
    <t>Kỹ năng công cụ</t>
  </si>
  <si>
    <t>Thành thật, nêu được ví dụ ứng dụng cụ thể</t>
  </si>
  <si>
    <t>Quy trình của bạn từ lúc nhận brief đến khi bàn giao sản phẩm cuối là gì?</t>
  </si>
  <si>
    <t>Quy trình làm việc</t>
  </si>
  <si>
    <t>Hỏi lại brief, tham khảo, phác thảo, duyệt, chỉnh sửa, xuất file</t>
  </si>
  <si>
    <t>Hãy giải thích cách bạn chọn màu sắc, font chữ và bố cục cho một poster sự kiện về môi trường.</t>
  </si>
  <si>
    <t>Nguyên tắc thiết kế</t>
  </si>
  <si>
    <t>Nêu được phân cấp thông tin, độ tương phản, tông xanh/tự nhiên, độ dễ đọc</t>
  </si>
  <si>
    <t>SEE là CLB mới. Nếu thiết kế bộ nhận diện (logo, màu, font) cho CLB, bạn sẽ bắt đầu từ đâu?</t>
  </si>
  <si>
    <t>Tư duy thương hiệu</t>
  </si>
  <si>
    <t>Tìm hiểu giá trị CLB, đối tượng, moodboard, tạo brand guideline</t>
  </si>
  <si>
    <t>Khi xuất file, bạn khác biệt thế nào giữa thiết kế để đăng mạng xã hội và để in ấn (kích thước, độ phân giải, hệ màu)?</t>
  </si>
  <si>
    <t>Kiến thức kỹ thuật</t>
  </si>
  <si>
    <t>Biết RGB/CMYK, DPI, bleed, định dạng file</t>
  </si>
  <si>
    <t>Bạn quản lý file và tài nguyên thiết kế (bản gốc, phiên bản chỉnh sửa) như thế nào để cả team dùng lại được?</t>
  </si>
  <si>
    <t>Tổ chức, làm việc nhóm</t>
  </si>
  <si>
    <t>Đặt tên file, thư mục Drive, lưu file gốc và bản xuất</t>
  </si>
  <si>
    <t>Ban Program nhờ bạn làm poster gấp trong 1 ngày nhưng brief rất mơ hồ. Bạn làm gì?</t>
  </si>
  <si>
    <t>Giao tiếp, xử lý deadline</t>
  </si>
  <si>
    <t>Chủ động hỏi thông tin cần thiết, đề xuất bản nháp nhanh, chốt phiên bản</t>
  </si>
  <si>
    <t>Sản phẩm của bạn bị phản hồi chỉnh sửa nhiều lần và người nhận chưa hài lòng. Bạn xử lý thế nào?</t>
  </si>
  <si>
    <t>Tiếp nhận phản hồi</t>
  </si>
  <si>
    <t>Bình tĩnh, làm rõ mong muốn, đề xuất phương án, không phòng thủ</t>
  </si>
  <si>
    <t>Poster đã đăng mới phát hiện lỗi chính tả/thông tin sai ngày giờ. Bạn làm gì?</t>
  </si>
  <si>
    <t>Trách nhiệm, xử lý sự cố</t>
  </si>
  <si>
    <t>Nhận lỗi, sửa và đăng lại nhanh, báo các ban liên quan, thiết lập bước kiểm tra</t>
  </si>
  <si>
    <t>Ba ban cùng cần sản phẩm thiết kế trong cùng một ngày và bạn không thể kịp tất cả. Bạn làm gì?</t>
  </si>
  <si>
    <t>Ưu tiên công việc</t>
  </si>
  <si>
    <t>Hỏi mức độ khẩn cấp, thương lượng deadline, nhờ hỗ trợ, thông báo sớm</t>
  </si>
  <si>
    <t>Bạn và Trưởng ban có quan điểm thẩm mỹ khác nhau về một thiết kế. Bạn xử lý thế nào?</t>
  </si>
  <si>
    <t>Bất đồng ý kiến</t>
  </si>
  <si>
    <t>Trình bày lý do dựa trên mục tiêu/đối tượng, thử A/B, tôn trọng quyết định cuối</t>
  </si>
  <si>
    <t>Bạn hãy giới thiệu ngắn gọn về bản thân và vì sao chọn ban LogFin (Logistics - Finance)?</t>
  </si>
  <si>
    <t>Rõ ràng, có hiểu biết về vai trò ban</t>
  </si>
  <si>
    <t>Bạn đã từng quản lý tiền hoặc đồ đạc cho nhóm/lớp/CLB bao giờ chưa? Bạn làm thế nào?</t>
  </si>
  <si>
    <t>Tính trung thực, trách nhiệm</t>
  </si>
  <si>
    <t>Có ví dụ, sổ sách minh bạch, bài học rút ra</t>
  </si>
  <si>
    <t>Mỗi tuần bạn dành được bao nhiêu giờ? Bạn xử lý thế nào khi trùng với mùa thi hoặc đồ án?</t>
  </si>
  <si>
    <t>Thực tế, chủ động báo trước</t>
  </si>
  <si>
    <t>Bạn kể là từng tự đi mua phụ kiện, gọi điện và đến tận xưởng để hỏi mua cho dự án. Bạn gặp khó khăn gì và đã học được gì?</t>
  </si>
  <si>
    <t>Tinh thần chủ động, kỹ năng làm việc với nhà cung cấp</t>
  </si>
  <si>
    <t>Mô tả cụ thể cách tìm nguồn, so giá, đàm phán; thái độ vượt vùng thoải mái</t>
  </si>
  <si>
    <t>Bạn muốn làm vai trò tổng hợp, ghi báo cáo và trực quan hóa dữ liệu tài chính. Hãy kể một lần bạn tổng hợp số liệu và trình bày lại cho người khác (ví dụ dự án với Leipzig).</t>
  </si>
  <si>
    <t>Phù hợp vai trò, kỹ năng báo cáo</t>
  </si>
  <si>
    <t>Có ví dụ về công cụ, cách trình bày, đối tượng người đọc</t>
  </si>
  <si>
    <t>Nếu lập ngân sách cho một sự kiện 200 người của SEE, bạn sẽ liệt kê những hạng mục chi nào và dựa vào đâu để ước tính?</t>
  </si>
  <si>
    <t>Kỹ năng lập ngân sách</t>
  </si>
  <si>
    <t>Có các nhóm: địa điểm, thiết bị, in ấn, vật phẩm, ăn uống, dự phòng; có dựa vào báo giá</t>
  </si>
  <si>
    <t>Bạn dùng công cụ nào để theo dõi thu chi (Excel/Google Sheets…) và biết những hàm nào (SUM, SUMIF, VLOOKUP…)?</t>
  </si>
  <si>
    <t>Biết lập bảng thu chi, hàm cơ bản, biểu đồ</t>
  </si>
  <si>
    <t>Bạn sẽ làm gì để đảm bảo mỗi khoản chi đều có chứng từ và có thể đối chiếu khi cần?</t>
  </si>
  <si>
    <t>Minh bạch, kiểm soát</t>
  </si>
  <si>
    <t>Quy trình xin duyệt - chi - lưu hóa đơn - đối chiếu, lưu bản sao</t>
  </si>
  <si>
    <t>Bạn sẽ so sánh báo giá và chọn nhà cung cấp in ấn/thiết bị như thế nào?</t>
  </si>
  <si>
    <t>Tư duy mua sắm, đàm phán</t>
  </si>
  <si>
    <t>Nhiều báo giá, so sánh giá/chất lượng/thời gian, đàm phán, kiểm tra uy tín</t>
  </si>
  <si>
    <t>Triển lãm của SEE trưng bày các mô hình máy móc. Bạn sẽ lên kế hoạch vận chuyển, lưu kho và bảo quản chúng thế nào?</t>
  </si>
  <si>
    <t>Tư duy logistics</t>
  </si>
  <si>
    <t>Quy trình đóng gói, phương tiện, nhân sự, lịch trình, bảo hiểm/rủi ro</t>
  </si>
  <si>
    <t>Bạn sẽ trình bày báo cáo tài chính cho Ban chủ nhiệm (không chuyên tài chính) như thế nào cho dễ hiểu?</t>
  </si>
  <si>
    <t>Kỹ năng báo cáo</t>
  </si>
  <si>
    <t>Dùng biểu đồ, tóm tắt, so sánh ngân sách với thực tế</t>
  </si>
  <si>
    <t>Còn 3 ngày đến sự kiện, báo giá in ấn tăng khiến chi phí vượt ngân sách 20%. Bạn xử lý thế nào?</t>
  </si>
  <si>
    <t>Ứng biến tài chính</t>
  </si>
  <si>
    <t>Cắt giảm/ưu tiên hạng mục, tìm nhà cung cấp khác, báo trưởng ban để duyệt</t>
  </si>
  <si>
    <t>Một thành viên đã tự mua đồ cho sự kiện nhưng không có hóa đơn và yêu cầu hoàn tiền. Bạn làm gì?</t>
  </si>
  <si>
    <t>Nguyên tắc, minh bạch</t>
  </si>
  <si>
    <t>Giải thích quy định, hỗ trợ xin lại chứng từ, ghi nhận ngoại lệ có sự đồng ý</t>
  </si>
  <si>
    <t>Nhà cung cấp giao hàng trễ/sai số lượng ngay trước ngày diễn ra. Bạn xử lý thế nào?</t>
  </si>
  <si>
    <t>Quản lý nhà cung cấp, rủi ro</t>
  </si>
  <si>
    <t>Liên hệ ngay, tìm phương án thay thế, báo các ban, ghi nhận để rút kinh nghiệm</t>
  </si>
  <si>
    <t>Khi đối chiếu cuối kỳ, số liệu trong sổ và số tiền thực tế bị lệch. Bạn làm gì?</t>
  </si>
  <si>
    <t>Cẩn thận, kiểm tra</t>
  </si>
  <si>
    <t>Soát lại từng khoản, khoanh vùng sai lệch, ghi nhận minh bạch, báo cáo</t>
  </si>
  <si>
    <t>Một anh/chị trong Ban chủ nhiệm đề nghị chi một khoản ngoài kế hoạch. Bạn phản hồi thế nào?</t>
  </si>
  <si>
    <t>Nguyên tắc và giao tiếp</t>
  </si>
  <si>
    <t>Lịch sự, đối chiếu ngân sách, đề xuất quy trình duyệt, không từ chối cứng</t>
  </si>
  <si>
    <t>Bạn hãy giới thiệu ngắn gọn về bản thân và lý do ứng tuyển vị trí HR - Executive Assistant của SEE?</t>
  </si>
  <si>
    <t>Rõ ràng, hiểu vai trò hỗ trợ, quan tâm con người</t>
  </si>
  <si>
    <t>Bạn tự đánh giá điểm mạnh và điểm yếu của mình trong làm việc nhóm là gì?</t>
  </si>
  <si>
    <t>Tự nhận thức</t>
  </si>
  <si>
    <t>Cụ thể, trung thực, có cách cải thiện</t>
  </si>
  <si>
    <t>Mỗi tuần bạn dành được khoảng 1-2h. Bạn sắp xếp thế nào để vẫn hoàn thành tốt công việc trợ lý?</t>
  </si>
  <si>
    <t>Có cách ưu tiên, chủ động báo cáo, đề xuất làm việc linh hoạt</t>
  </si>
  <si>
    <t>Bạn từng là thư ký chi đoàn. Công việc hằng ngày của bạn là gì và bạn tự hào nhất điều gì?</t>
  </si>
  <si>
    <t>Xác thực kinh nghiệm</t>
  </si>
  <si>
    <t>Nêu việc cụ thể (biên bản, báo cáo, thông báo), kết quả, bài học</t>
  </si>
  <si>
    <t>Bạn nói muốn trở thành một mảnh ghép tiềm năng ở SEE. Bạn nghĩ mình mang lại điều gì cho CLB?</t>
  </si>
  <si>
    <t>Giá trị bản thân, mức độ phù hợp</t>
  </si>
  <si>
    <t>Liên kết kỹ năng với nhu cầu của CLB, không chung chung</t>
  </si>
  <si>
    <t>Bạn sẽ làm biên bản họp như thế nào để mọi người đọc là hiểu và theo dõi được việc cần làm?</t>
  </si>
  <si>
    <t>Kỹ năng thư ký</t>
  </si>
  <si>
    <t>Có thời gian, thành phần, nội dung, quyết định, người phụ trách, deadline</t>
  </si>
  <si>
    <t>Bạn sẽ quản lý lịch họp, điểm danh và lưu trữ hồ sơ thành viên bằng công cụ nào?</t>
  </si>
  <si>
    <t>Tổ chức, công cụ</t>
  </si>
  <si>
    <t>Google Calendar/Sheets, thư mục Drive, quy tắc đặt tên, phân quyền</t>
  </si>
  <si>
    <t>Hãy mô tả quy trình bạn sẽ đề xuất để tuyển thành viên mới (từ đăng tuyển đến công bố kết quả).</t>
  </si>
  <si>
    <t>Hiểu quy trình HR</t>
  </si>
  <si>
    <t>Đăng tuyển, sàng lọc CV, phỏng vấn, đánh giá, thông báo, onboarding</t>
  </si>
  <si>
    <t>Bạn sẽ tổ chức một hoạt động gắn kết (team bonding) cho 20 thành viên với ngân sách thấp như thế nào?</t>
  </si>
  <si>
    <t>Sáng tạo, tổ chức</t>
  </si>
  <si>
    <t>Ý tưởng cụ thể, mục tiêu gắn kết, chi phí thấp, tính khả thi</t>
  </si>
  <si>
    <t>Hãy soạn nhanh nội dung email/thông báo mời thành viên họp (nêu bố cục và giọng văn).</t>
  </si>
  <si>
    <t>Kỹ năng giao tiếp văn bản</t>
  </si>
  <si>
    <t>Tiêu đề rõ, thời gian, địa điểm, nội dung, hạn xác nhận, lịch sự</t>
  </si>
  <si>
    <t>Bạn sẽ xử lý thông tin cá nhân của thành viên (SĐT, email, CV) như thế nào để đảm bảo bảo mật?</t>
  </si>
  <si>
    <t>Tính bảo mật</t>
  </si>
  <si>
    <t>Chỉ chia sẻ khi cần, phân quyền, không đăng công khai</t>
  </si>
  <si>
    <t>Một thành viên vắng họp liên tục 3 lần mà không báo. Bạn làm gì?</t>
  </si>
  <si>
    <t>Quản lý nhân sự</t>
  </si>
  <si>
    <t>Nhắn riêng tìm hiểu lý do, báo trưởng ban, nhắc nội quy, hỗ trợ nếu có khó khăn</t>
  </si>
  <si>
    <t>Hai thành viên mâu thuẫn và nhờ bạn đứng về phía mình. Bạn xử lý thế nào?</t>
  </si>
  <si>
    <t>Trung lập, xử lý xung đột</t>
  </si>
  <si>
    <t>Lắng nghe cả hai, không nói xấu, chuyển cấp cao hơn khi cần</t>
  </si>
  <si>
    <t>Một thành viên nói muốn rời CLB vì quá tải. Bạn phản hồi thế nào?</t>
  </si>
  <si>
    <t>Đồng cảm, giữ chân</t>
  </si>
  <si>
    <t>Lắng nghe, tìm nguyên nhân, đề xuất điều chỉnh, tôn trọng quyết định</t>
  </si>
  <si>
    <t>Buổi họp quan trọng không đủ người theo yêu cầu. Bạn làm gì?</t>
  </si>
  <si>
    <t>Ứng biến, điều phối</t>
  </si>
  <si>
    <t>Nhắc lại, xác nhận danh sách, dời lịch hoặc họp online, ghi nhận</t>
  </si>
  <si>
    <t>Bạn phát hiện biên bản họp ghi sai quyết định và mọi người đã làm theo. Bạn làm gì?</t>
  </si>
  <si>
    <t>Trách nhiệm, trung thực</t>
  </si>
  <si>
    <t>Nhận lỗi, thông báo kịp thời, chỉnh sửa, thêm bước kiểm tra lại với chủ trì</t>
  </si>
  <si>
    <t>Kỳ vọng: ứng viên cần trả lời được</t>
  </si>
  <si>
    <t>• Nêu được tên, ngành, khóa
• Có 1-2 điểm nổi bật hoặc sở thích liên quan hoạt động
• Nói trong khoảng 1-2 phút, tự tin</t>
  </si>
  <si>
    <t>• Hiểu SEE hoạt động về kỹ thuật xanh/bền vững
• Biết ban Program làm gì (lên kế hoạch, điều phối sự kiện)
• Có mong muốn học hỏi cụ thể, không chung chung</t>
  </si>
  <si>
    <t>• Nêu số giờ/tuần cụ thể và khung giờ rảnh
• Có cách xử lý khi trùng lịch học/thi
• Thừa nhận giới hạn của mình một cách trung thực</t>
  </si>
  <si>
    <t>• Kể được ít nhất 1 hoạt động từng tham gia/tổ chức
• Nêu rõ vai trò của mình
• Rút ra được bài học hoặc điều muốn làm tốt hơn</t>
  </si>
  <si>
    <t>• Nêu tên sự kiện, quy mô, thời gian
• Nói rõ phần mình phụ trách và cách chia việc cho team
• Có kết quả/phản hồi và bài học kinh nghiệm</t>
  </si>
  <si>
    <t>• Mục tiêu và đối tượng sự kiện
• Ngân sách, timeline, phân công
• Truyền thông, chạy thử, vận hành, tổng kết</t>
  </si>
  <si>
    <t>• Mốc giờ, nội dung, người phụ trách
• Thiết bị cần dùng và phương án dự phòng
• Họp briefing với team/MC/khách mời trước sự kiện</t>
  </si>
  <si>
    <t>• Media: poster, bài đăng, deadline
• LogFin: ngân sách, duyệt chi, vật tư
• HR: nhân sự, phân ca, danh sách tình nguyện viên</t>
  </si>
  <si>
    <t>• Hoạt động gắn với môi trường/kỹ thuật xanh
• Cách tham gia rõ ràng (game, workshop, booth)
• Dùng vật liệu tái chế, chi phí thấp, khả thi</t>
  </si>
  <si>
    <t>• Biết ít nhất 1 công cụ (Trello/Notion/Sheets)
• Biết tạo task, gán người, đặt deadline
• Cách theo dõi và nhắc tiến độ</t>
  </si>
  <si>
    <t>• Có tiêu chí cụ thể (số người, mức độ hài lòng)
• Có cách thu thập phản hồi (form khảo sát)
• So sánh kết quả với mục tiêu ban đầu</t>
  </si>
  <si>
    <t>• Giữ bình tĩnh, báo cho MC/team
• Có phương án lấp khoảng trống (hoạt động khởi động, đổi thứ tự)
• Liên lạc xác nhận lại với diễn giả</t>
  </si>
  <si>
    <t>• Quyết định nhanh: chuyển địa điểm hoặc lùi giờ
• Ưu tiên an toàn và thông báo khách
• Đề xuất lập plan B ở những lần sau</t>
  </si>
  <si>
    <t>• Mở thêm khu vực hoặc chia đợt
• Điều phối nhân sự, bổ sung vật phẩm
• Giữ trải nghiệm của khách</t>
  </si>
  <si>
    <t>• Nói chuyện riêng với từng người
• Chia lại việc rõ ràng, tập trung vào mục tiêu chung
• Báo trưởng ban nếu không tự giải quyết được</t>
  </si>
  <si>
    <t>• Giữ trật tự, trấn an khán giả
• Có người phụ trách kỹ thuật và thiết bị dự phòng
• Chuyển phương án (mic, loa, hoạt động khác) nhanh</t>
  </si>
  <si>
    <t>• Nêu được tên, ngành, khóa
• Lý do chọn Media-Design
• Có đam mê hoặc sản phẩm minh họa</t>
  </si>
  <si>
    <t>• Kể được phong cách yêu thích
• Nêu nguồn tham khảo (Behance, Pinterest, nhà thiết kế)
• Giải thích vì sao họ thích phong cách đó</t>
  </si>
  <si>
    <t>• Nêu số giờ/tuần cụ thể
• Cách sắp xếp khi có nhiều đơn cùng lúc
• Biết báo trước khi quá tải</t>
  </si>
  <si>
    <t>• Nêu được công cụ đã dùng (tay/CAD/phần mềm)
• Mô tả bản vẽ hài lòng nhất và lý do
• Thể hiện sẵn sàng học Photoshop/Illustrator/Canva</t>
  </si>
  <si>
    <t>• Nêu rõ brief, vai trò của mình, công cụ
• Kết quả hoặc phản hồi nhận được
• Giải thích được lựa chọn thiết kế</t>
  </si>
  <si>
    <t>• Kể tên phần mềm và mức độ thành thạo
• Nêu ví dụ đã làm bằng phần mềm đó
• Thành thật về điểm chưa biết</t>
  </si>
  <si>
    <t>• Hỏi lại brief, nghiên cứu, phác thảo
• Gửi duyệt, chỉnh sửa theo phản hồi
• Xuất file và bàn giao, lưu file gốc</t>
  </si>
  <si>
    <t>• Phân cấp thông tin (tiêu đề, thông tin chính, phụ)
• Màu tông xanh/tự nhiên, tương phản tốt
• Font dễ đọc, không quá 2-3 font</t>
  </si>
  <si>
    <t>• Tìm hiểu giá trị và đối tượng của CLB
• Moodboard, thử logo/màu/font
• Tạo brand guideline để dùng nhất quán</t>
  </si>
  <si>
    <t>• Biết RGB (màn hình) và CMYK (in)
• Biết DPI/bleed/định dạng file (PNG, PDF…)
• Biết kích thước chuẩn của từng nền tảng</t>
  </si>
  <si>
    <t>• Đặt tên file/phiên bản có quy tắc
• Lưu trữ trên Drive theo thư mục
• Giữ file gốc (PSD/AI/Figma) và bản xuất</t>
  </si>
  <si>
    <t>• Hỏi lại thông tin cần thiết (nội dung, kích thước, hạn chót)
• Gửi bản nháp nhanh để chốt hướng
• Báo thời gian thực tế nếu không kịp</t>
  </si>
  <si>
    <t>• Không phòng thủ, hỏi rõ điểm chưa hài lòng
• Đưa ra 1-2 phương án sửa
• Rút kinh nghiệm cho lần sau</t>
  </si>
  <si>
    <t>• Nhận lỗi, sửa và đăng lại ngay
• Báo các ban liên quan
• Đề xuất bước kiểm tra trước khi đăng</t>
  </si>
  <si>
    <t>• Hỏi mức độ khẩn cấp từng yêu cầu
• Thương lượng deadline hoặc nhờ hỗ trợ
• Thông báo sớm, không im lặng</t>
  </si>
  <si>
    <t>• Trình bày lý do dựa trên mục tiêu và đối tượng
• Có thể thử 2 phương án để so sánh
• Tôn trọng quyết định cuối cùng</t>
  </si>
  <si>
    <t>• Nêu được tên, ngành, khóa
• Hiểu LogFin gồm logistics (vật tư, vận chuyển) và finance (thu chi)
• Có động lực rõ ràng</t>
  </si>
  <si>
    <t>• Có ví dụ quản lý quỹ/đồ đạc cho nhóm
• Ghi chép minh bạch, công khai với nhóm
• Rút ra bài học về trách nhiệm</t>
  </si>
  <si>
    <t>• Nêu số giờ/tuần cụ thể
• Có kế hoạch với mùa thi, đồ án
• Báo trước khi bận</t>
  </si>
  <si>
    <t>• Cách tìm nhà cung cấp, so sánh giá
• Khó khăn gặp phải (đi lại, thương lượng)
• Bài học: chủ động, kiên trì, ghi lại chi phí</t>
  </si>
  <si>
    <t>• Nêu ví dụ tổng hợp số liệu và công cụ dùng (Excel, biểu đồ)
• Cách trình bày cho người đọc không chuyên
• Hiểu giới hạn: hỗ trợ báo cáo, không tự quyết chi</t>
  </si>
  <si>
    <t>• Hạng mục: địa điểm, thiết bị, in ấn, vật phẩm, ăn uống
• Có quỹ dự phòng (khoảng 10%)
• Dựa trên báo giá thực tế</t>
  </si>
  <si>
    <t>• Biết lập bảng thu - chi
• Biết hàm cơ bản (SUM, SUMIF, VLOOKUP)
• Biết vẽ biểu đồ tổng hợp</t>
  </si>
  <si>
    <t>• Quy trình: đề xuất - duyệt - chi - lưu hóa đơn
• Lưu bản scan/ảnh chứng từ
• Đối chiếu định kỳ với sổ thu chi</t>
  </si>
  <si>
    <t>• Xin ít nhất 2-3 báo giá
• So sánh giá, chất lượng, thời gian giao
• Đàm phán và kiểm tra uy tín nhà cung cấp</t>
  </si>
  <si>
    <t>• Đóng gói bảo vệ mô hình
• Chọn phương tiện, nhân sự, lịch trình
• Có kiểm kê trước/sau và phương án rủi ro</t>
  </si>
  <si>
    <t>• Tóm tắt ngắn: tổng thu, tổng chi, còn lại
• So sánh dự toán với thực tế
• Dùng biểu đồ hoặc bảng đơn giản</t>
  </si>
  <si>
    <t>• Rà soát hạng mục có thể cắt giảm hoặc thay thế
• Tìm nhà cung cấp khác/đàm phán
• Báo trưởng ban để duyệt điều chỉnh</t>
  </si>
  <si>
    <t>• Giải thích quy định cần hóa đơn
• Hỗ trợ xin lại chứng từ
• Chỉ ghi nhận ngoại lệ khi có sự đồng ý</t>
  </si>
  <si>
    <t>• Liên hệ nhà cung cấp ngay
• Tìm phương án thay thế/giao gấp
• Báo các ban liên quan và ghi nhận bài học</t>
  </si>
  <si>
    <t>• Soát lại từng khoản và chứng từ
• Khoanh vùng nguyên nhân chênh lệch
• Báo cáo minh bạch, không che giấu</t>
  </si>
  <si>
    <t>• Lịch sự, không từ chối cứng
• Đối chiếu ngân sách và đề xuất quy trình duyệt
• Ghi nhận khoản chi bổ sung nếu được duyệt</t>
  </si>
  <si>
    <t>• Nêu được tên, ngành, khóa
• Hiểu HR/Executive Assistant là vai trò hỗ trợ và kết nối
• Động lực rõ ràng</t>
  </si>
  <si>
    <t>• Nêu 1-2 điểm mạnh kèm ví dụ
• Nêu điểm yếu thật và cách cải thiện
• Thể hiện tinh thần cầu thị</t>
  </si>
  <si>
    <t>• Nêu cách sắp xếp trong 1-2h/tuần
• Biết ưu tiên việc quan trọng
• Chủ động báo cáo, nhắn trước khi trễ</t>
  </si>
  <si>
    <t>• Việc cụ thể: biên bản, báo cáo, thông báo
• Kết quả hoặc điều tự hào
• Bài học về tổ chức/giao tiếp</t>
  </si>
  <si>
    <t>• Liên hệ kỹ năng của mình với nhu cầu CLB
• Ví dụ cụ thể (kinh nghiệm, workshop, cuộc thi)
• Không chung chung hoặc quá khiêm tốn</t>
  </si>
  <si>
    <t>• Ghi thời gian, thành phần, nội dung chính
• Ghi quyết định, người phụ trách, deadline
• Gửi lại và lưu trữ sau họp</t>
  </si>
  <si>
    <t>• Dùng Google Calendar/Sheets/Drive
• Có quy tắc đặt tên và phân quyền
• Điểm danh và cập nhật danh sách thành viên</t>
  </si>
  <si>
    <t>• Đăng tuyển, sàng lọc CV
• Phỏng vấn và đánh giá
• Thông báo kết quả và onboarding</t>
  </si>
  <si>
    <t>• Ý tưởng cụ thể (trò chơi, workshop, picnic)
• Có mục tiêu gắn kết
• Chi phí thấp và khả thi</t>
  </si>
  <si>
    <t>• Tiêu đề rõ ràng
• Có thời gian, địa điểm, nội dung, hạn xác nhận
• Giọng văn lịch sự, ngắn gọn</t>
  </si>
  <si>
    <t>• Chỉ chia sẻ khi cần thiết
• Phân quyền file/thư mục
• Không đăng thông tin công khai</t>
  </si>
  <si>
    <t>• Nhắn riêng hỏi lý do
• Nhắc nội quy và báo trưởng ban
• Hỗ trợ nếu thành viên gặp khó khăn</t>
  </si>
  <si>
    <t>• Lắng nghe cả hai bên, giữ trung lập
• Không nói xấu sau lưng
• Chuyển cấp cao hơn khi cần</t>
  </si>
  <si>
    <t>• Lắng nghe, tìm nguyên nhân (quá tải?)
• Đề xuất điều chỉnh công việc
• Tôn trọng quyết định cuối cùng</t>
  </si>
  <si>
    <t>• Nhắc lại và xác nhận danh sách tham dự
• Dời lịch hoặc họp online
• Ghi nhận để rút kinh nghiệm</t>
  </si>
  <si>
    <t>• Nhận lỗi và thông báo kịp thời
• Chỉnh sửa biên bản, gửi lại phiên bản đúng
• Thêm bước kiểm tra lại với người chủ trì trước khi gửi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</si>
</sst>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5" x14ac:knownFonts="1">
    <font>
      <sz val="10"/>
      <color rgb="FF000000"/>
      <name val="Arial"/>
      <scheme val="minor"/>
    </font>
    <font>
      <sz val="10"/>
      <color theme="1"/>
      <name val="Arial"/>
      <family val="2"/>
      <scheme val="minor"/>
    </font>
    <font>
      <u/>
      <sz val="10"/>
      <color rgb="FF0000FF"/>
      <name val="Roboto"/>
    </font>
    <font>
      <u/>
      <sz val="10"/>
      <color rgb="FF0000FF"/>
      <name val="Roboto"/>
    </font>
    <font>
      <i/>
      <sz val="10"/>
      <color theme="1"/>
      <name val="Arial"/>
      <family val="2"/>
    </font>
    <font>
      <sz val="10"/>
      <color theme="1"/>
      <name val="Arial"/>
      <family val="2"/>
    </font>
    <font>
      <sz val="10"/>
      <color rgb="FF000000"/>
      <name val="Arial"/>
      <family val="2"/>
      <scheme val="minor"/>
    </font>
    <font>
      <sz val="10"/>
      <color theme="0"/>
      <name val="Arial"/>
      <family val="2"/>
      <scheme val="minor"/>
    </font>
    <font>
      <sz val="10"/>
      <name val="Arial"/>
      <family val="2"/>
    </font>
    <font>
      <b/>
      <sz val="11"/>
      <color rgb="FF1F5C3A"/>
      <name val="Arial"/>
      <family val="2"/>
    </font>
    <font>
      <b/>
      <sz val="11"/>
      <color rgb="FFFFFFFF"/>
      <name val="Arial"/>
      <family val="2"/>
    </font>
    <font>
      <sz val="10"/>
      <color theme="0"/>
      <name val="Calibri"/>
      <family val="2"/>
    </font>
    <font>
      <sz val="10"/>
      <color rgb="FF000000"/>
      <name val="Calibri"/>
      <family val="2"/>
    </font>
    <font>
      <sz val="10"/>
      <color theme="1"/>
      <name val="Calibri"/>
      <family val="2"/>
    </font>
    <font>
      <i/>
      <sz val="10"/>
      <color theme="1"/>
      <name val="Calibri"/>
      <family val="2"/>
    </font>
  </fonts>
  <fills count="7">
    <fill>
      <patternFill patternType="none"/>
    </fill>
    <fill>
      <patternFill patternType="gray125"/>
    </fill>
    <fill>
      <patternFill patternType="solid">
        <fgColor theme="0"/>
        <bgColor rgb="FF5B3F86"/>
      </patternFill>
    </fill>
    <fill>
      <patternFill patternType="solid">
        <fgColor rgb="FF0070C0"/>
        <bgColor rgb="FFFFFFFF"/>
      </patternFill>
    </fill>
    <fill>
      <patternFill patternType="solid">
        <fgColor rgb="FFD9EAD3"/>
        <bgColor rgb="FFFFF2CC"/>
      </patternFill>
    </fill>
    <fill>
      <patternFill patternType="solid">
        <fgColor rgb="FF1F5C3A"/>
        <bgColor rgb="FF595959"/>
      </patternFill>
    </fill>
    <fill>
      <patternFill patternType="solid">
        <fgColor rgb="FFFFF2CC"/>
        <bgColor rgb="FFFFFFFF"/>
      </patternFill>
    </fill>
  </fills>
  <borders count="3">
    <border>
      <left/>
      <right/>
      <top/>
      <bottom/>
      <diagonal/>
    </border>
    <border>
      <left/>
      <right/>
      <top style="thin">
        <color rgb="FF5B3F86"/>
      </top>
      <bottom style="thin">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quotePrefix="1" applyFont="1" applyAlignment="1">
      <alignment vertical="center"/>
    </xf>
    <xf numFmtId="0" fontId="3" fillId="0" borderId="0" xfId="0" applyFont="1" applyAlignment="1">
      <alignment vertical="center"/>
    </xf>
    <xf numFmtId="14" fontId="0" fillId="0" borderId="0" xfId="0" applyNumberFormat="1"/>
    <xf numFmtId="0" fontId="6" fillId="0" borderId="0" xfId="0" applyFont="1"/>
    <xf numFmtId="0" fontId="7" fillId="3" borderId="0" xfId="0" applyFont="1" applyFill="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8" fillId="0" borderId="2" xfId="0" applyFont="1" applyBorder="1" applyAlignment="1">
      <alignment horizontal="center" vertical="top" wrapText="1"/>
    </xf>
    <xf numFmtId="0" fontId="8" fillId="0" borderId="2" xfId="0" applyFont="1" applyBorder="1" applyAlignment="1">
      <alignment vertical="top" wrapText="1"/>
    </xf>
    <xf numFmtId="0" fontId="9" fillId="4" borderId="2" xfId="0" applyFont="1" applyFill="1" applyBorder="1"/>
    <xf numFmtId="0" fontId="0" fillId="4" borderId="2" xfId="0" applyFill="1" applyBorder="1"/>
    <xf numFmtId="0" fontId="10" fillId="5" borderId="2" xfId="0" applyFont="1" applyFill="1" applyBorder="1" applyAlignment="1">
      <alignment horizontal="center" vertical="top" wrapText="1"/>
    </xf>
    <xf numFmtId="0" fontId="8" fillId="6" borderId="2" xfId="0" applyFont="1" applyFill="1" applyBorder="1" applyAlignment="1">
      <alignment horizontal="center" vertical="top" wrapText="1"/>
    </xf>
    <xf numFmtId="0" fontId="8" fillId="6" borderId="2" xfId="0" applyFont="1" applyFill="1" applyBorder="1" applyAlignment="1">
      <alignment vertical="top" wrapText="1"/>
    </xf>
    <xf numFmtId="0" fontId="11" fillId="3" borderId="0" xfId="0" applyFont="1" applyFill="1" applyAlignment="1">
      <alignment vertical="center"/>
    </xf>
    <xf numFmtId="0" fontId="12" fillId="0" borderId="0" xfId="0" applyFont="1"/>
    <xf numFmtId="0" fontId="13" fillId="2" borderId="1" xfId="0" applyFont="1" applyFill="1" applyBorder="1" applyAlignment="1">
      <alignment horizontal="left" vertical="center"/>
    </xf>
    <xf numFmtId="0" fontId="13" fillId="2" borderId="1" xfId="0" applyFont="1" applyFill="1" applyBorder="1" applyAlignment="1">
      <alignment horizontal="left" vertical="center" wrapText="1"/>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O8">
  <tableColumns count="15">
    <tableColumn id="1" xr3:uid="{00000000-0010-0000-0000-000001000000}" name="Timestamp"/>
    <tableColumn id="2" xr3:uid="{00000000-0010-0000-0000-000002000000}" name="Your full name"/>
    <tableColumn id="3" xr3:uid="{00000000-0010-0000-0000-000003000000}" name="Your Program"/>
    <tableColumn id="4" xr3:uid="{00000000-0010-0000-0000-000004000000}" name="Intake"/>
    <tableColumn id="5" xr3:uid="{00000000-0010-0000-0000-000005000000}" name="Your VGU Email Address (@student.vgu.edu.vn)"/>
    <tableColumn id="6" xr3:uid="{00000000-0010-0000-0000-000006000000}" name="Your Facebook link (for contact)"/>
    <tableColumn id="7" xr3:uid="{00000000-0010-0000-0000-000007000000}" name="Your number (for contact)"/>
    <tableColumn id="8" xr3:uid="{00000000-0010-0000-0000-000008000000}" name="Where do you stay at the moment?"/>
    <tableColumn id="9" xr3:uid="{00000000-0010-0000-0000-000009000000}" name="Vị trí (ban) bạn mong muốn tham gia_x000a_&quot;The role you want to participate?&quot;"/>
    <tableColumn id="10" xr3:uid="{00000000-0010-0000-0000-00000A000000}" name="Gửi CV theo vị trí bạn muốn tham gia : _x000a_&quot;Send the CV for the selected roles &quot; _x000a_If you don't have experience yet, remember: a CV isn't just a list of jobs, it's a snapshot of who you are. Tell us about the projects you've tinkered with, your passions,... W"/>
    <tableColumn id="11" xr3:uid="{00000000-0010-0000-0000-00000B000000}" name="Bạn mong muốn học được gì trong quá trình tham gia SEE? _x000a_&quot; What do you expect to learn when joining SEE club  &quot;"/>
    <tableColumn id="12" xr3:uid="{00000000-0010-0000-0000-00000C000000}" name="Bạn có thể dành bao nhiêu giờ mỗi tuần cho hoạt động câu lạc bộ?_x000a_&quot; How many hours per week can you dedicate to club activities?&quot;"/>
    <tableColumn id="13" xr3:uid="{00000000-0010-0000-0000-00000D000000}" name="Bạn có kinh nghiệm làm việc liên quan đến vị trí bạn ứng tuyển không? _x000a_(Nếu có: mô tả ngắn gọn)_x000a_&quot; Do you have any relevant experience for your role , if yes, please describe shortly&quot;"/>
    <tableColumn id="14" xr3:uid="{00000000-0010-0000-0000-00000E000000}" name="Bạn đã từng tham gia dự án nghiên cứu, chế tạo, hay cuộc thi kỹ thuật nào chưa? _x000a_(Nếu có: mô tả ngắn gọn) _x000a_&quot;Have you ever participated in a research or manufacturing project, or an engineering competition, if yes, please describe shortly&quot;"/>
    <tableColumn id="15" xr3:uid="{00000000-0010-0000-0000-00000F000000}" name="Bạn có câu hỏi hay mong muốn gì khi tham gia SEE không ?_x000a_&quot;Do you have any furthur question ?&quot;"/>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FzPDQrrHarmpzjSb-fJb4NUkQff2OwLf" TargetMode="External"/><Relationship Id="rId13" Type="http://schemas.openxmlformats.org/officeDocument/2006/relationships/hyperlink" Target="https://drive.google.com/open?id=139hQBwjudgI1HZgphjp4-He2Gfs5SoNK" TargetMode="External"/><Relationship Id="rId3" Type="http://schemas.openxmlformats.org/officeDocument/2006/relationships/hyperlink" Target="https://www.facebook.com/share/1FigVqwtYX/?mibextid=wwXIfr" TargetMode="External"/><Relationship Id="rId7" Type="http://schemas.openxmlformats.org/officeDocument/2006/relationships/hyperlink" Target="https://www.facebook.com/ngoc.thuy.807519" TargetMode="External"/><Relationship Id="rId12" Type="http://schemas.openxmlformats.org/officeDocument/2006/relationships/hyperlink" Target="https://www.facebook.com/dung.phan.772172" TargetMode="External"/><Relationship Id="rId2" Type="http://schemas.openxmlformats.org/officeDocument/2006/relationships/hyperlink" Target="https://drive.google.com/open?id=1qd5Zh8VnByGXhQMhX8gSxTwHZ5Ty_eeZ" TargetMode="External"/><Relationship Id="rId1" Type="http://schemas.openxmlformats.org/officeDocument/2006/relationships/hyperlink" Target="https://www.facebook.com/minhthaonguyen.nguyen.16/" TargetMode="External"/><Relationship Id="rId6" Type="http://schemas.openxmlformats.org/officeDocument/2006/relationships/hyperlink" Target="https://drive.google.com/open?id=14RMCPmX2a8qEjrMsTl4SaiObEREDgE0v" TargetMode="External"/><Relationship Id="rId11" Type="http://schemas.openxmlformats.org/officeDocument/2006/relationships/hyperlink" Target="https://drive.google.com/open?id=1HAJBHFMuiyHWodvaLbBwWbjfx3OI517q" TargetMode="External"/><Relationship Id="rId5" Type="http://schemas.openxmlformats.org/officeDocument/2006/relationships/hyperlink" Target="https://www.facebook.com/tooji.tomoro.9/" TargetMode="External"/><Relationship Id="rId10" Type="http://schemas.openxmlformats.org/officeDocument/2006/relationships/hyperlink" Target="https://www.facebook.com/apinchofsalzz/" TargetMode="External"/><Relationship Id="rId4" Type="http://schemas.openxmlformats.org/officeDocument/2006/relationships/hyperlink" Target="https://drive.google.com/open?id=1vuCe7oLs79JxCj2gJ_6TjGxoiP0vLCiW" TargetMode="External"/><Relationship Id="rId9" Type="http://schemas.openxmlformats.org/officeDocument/2006/relationships/hyperlink" Target="https://www.facebook.com/share/1LfcK8GuuW/"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9"/>
  <sheetViews>
    <sheetView topLeftCell="G1" workbookViewId="0">
      <pane ySplit="1" topLeftCell="A2" activePane="bottomLeft" state="frozen"/>
      <selection pane="bottomLeft" activeCell="J12" sqref="J12"/>
    </sheetView>
  </sheetViews>
  <sheetFormatPr defaultColWidth="12.6640625" defaultRowHeight="15.75" customHeight="1" x14ac:dyDescent="0.25"/>
  <cols>
    <col min="1" max="1" width="16.88671875" bestFit="1" customWidth="1"/>
    <col min="2" max="2" width="23.33203125" bestFit="1" customWidth="1"/>
    <col min="3" max="3" width="12.44140625" bestFit="1" customWidth="1"/>
    <col min="4" max="4" width="5.88671875" bestFit="1" customWidth="1"/>
    <col min="5" max="5" width="41" bestFit="1" customWidth="1"/>
    <col min="6" max="6" width="58.44140625" bestFit="1" customWidth="1"/>
    <col min="7" max="7" width="22.44140625" bestFit="1" customWidth="1"/>
    <col min="8" max="8" width="30" bestFit="1" customWidth="1"/>
    <col min="9" max="9" width="42.88671875" bestFit="1" customWidth="1"/>
    <col min="10" max="10" width="69.21875" bestFit="1" customWidth="1"/>
    <col min="11" max="11" width="255.77734375" bestFit="1" customWidth="1"/>
    <col min="12" max="12" width="57.33203125" bestFit="1" customWidth="1"/>
    <col min="13" max="14" width="255.77734375" bestFit="1" customWidth="1"/>
    <col min="15" max="15" width="63.88671875" bestFit="1" customWidth="1"/>
    <col min="16" max="21" width="18.88671875" customWidth="1"/>
  </cols>
  <sheetData>
    <row r="1" spans="1:20" ht="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20" ht="13.2" x14ac:dyDescent="0.25">
      <c r="A2" s="2">
        <v>46292.778625208332</v>
      </c>
      <c r="B2" s="3" t="s">
        <v>15</v>
      </c>
      <c r="C2" s="3" t="s">
        <v>16</v>
      </c>
      <c r="D2" s="3">
        <v>2026</v>
      </c>
      <c r="E2" s="3" t="s">
        <v>17</v>
      </c>
      <c r="F2" s="4" t="s">
        <v>18</v>
      </c>
      <c r="G2" s="5" t="s">
        <v>19</v>
      </c>
      <c r="H2" s="3" t="s">
        <v>20</v>
      </c>
      <c r="I2" s="3" t="s">
        <v>21</v>
      </c>
      <c r="J2" s="4" t="s">
        <v>22</v>
      </c>
      <c r="K2" s="3" t="s">
        <v>23</v>
      </c>
      <c r="L2" s="3" t="s">
        <v>24</v>
      </c>
      <c r="M2" s="3" t="s">
        <v>25</v>
      </c>
      <c r="N2" s="3" t="s">
        <v>25</v>
      </c>
      <c r="O2" s="3" t="s">
        <v>25</v>
      </c>
    </row>
    <row r="3" spans="1:20" ht="13.2" x14ac:dyDescent="0.25">
      <c r="A3" s="2">
        <v>46295.748485104166</v>
      </c>
      <c r="B3" s="3" t="s">
        <v>26</v>
      </c>
      <c r="C3" s="3" t="s">
        <v>27</v>
      </c>
      <c r="D3" s="3">
        <v>2024</v>
      </c>
      <c r="E3" s="3" t="s">
        <v>28</v>
      </c>
      <c r="F3" s="4" t="s">
        <v>29</v>
      </c>
      <c r="G3" s="5" t="s">
        <v>30</v>
      </c>
      <c r="H3" s="3" t="s">
        <v>31</v>
      </c>
      <c r="I3" s="3" t="s">
        <v>32</v>
      </c>
      <c r="J3" s="4" t="s">
        <v>33</v>
      </c>
      <c r="K3" s="3" t="s">
        <v>34</v>
      </c>
      <c r="L3" s="3" t="s">
        <v>35</v>
      </c>
      <c r="M3" s="3" t="s">
        <v>36</v>
      </c>
      <c r="N3" s="3" t="s">
        <v>37</v>
      </c>
      <c r="O3" s="3" t="s">
        <v>38</v>
      </c>
    </row>
    <row r="4" spans="1:20" ht="13.2" x14ac:dyDescent="0.25">
      <c r="A4" s="2">
        <v>46296.745251840279</v>
      </c>
      <c r="B4" s="3" t="s">
        <v>39</v>
      </c>
      <c r="C4" s="3" t="s">
        <v>40</v>
      </c>
      <c r="D4" s="3">
        <v>2025</v>
      </c>
      <c r="E4" s="3" t="s">
        <v>41</v>
      </c>
      <c r="F4" s="4" t="s">
        <v>42</v>
      </c>
      <c r="G4" s="5" t="s">
        <v>43</v>
      </c>
      <c r="H4" s="3" t="s">
        <v>20</v>
      </c>
      <c r="I4" s="3" t="s">
        <v>44</v>
      </c>
      <c r="J4" s="4" t="s">
        <v>45</v>
      </c>
      <c r="K4" s="3" t="s">
        <v>46</v>
      </c>
      <c r="L4" s="3" t="s">
        <v>35</v>
      </c>
      <c r="M4" s="3" t="s">
        <v>47</v>
      </c>
      <c r="N4" s="3" t="s">
        <v>48</v>
      </c>
      <c r="O4" s="3"/>
    </row>
    <row r="5" spans="1:20" ht="13.2" x14ac:dyDescent="0.25">
      <c r="A5" s="2">
        <v>46303.546308275458</v>
      </c>
      <c r="B5" s="3" t="s">
        <v>49</v>
      </c>
      <c r="C5" s="3" t="s">
        <v>50</v>
      </c>
      <c r="D5" s="3">
        <v>2025</v>
      </c>
      <c r="E5" s="3" t="s">
        <v>51</v>
      </c>
      <c r="F5" s="6" t="s">
        <v>52</v>
      </c>
      <c r="G5" s="5" t="s">
        <v>53</v>
      </c>
      <c r="H5" s="3" t="s">
        <v>20</v>
      </c>
      <c r="I5" s="3" t="s">
        <v>54</v>
      </c>
      <c r="J5" s="6" t="s">
        <v>55</v>
      </c>
      <c r="K5" s="3" t="s">
        <v>56</v>
      </c>
      <c r="L5" s="3" t="s">
        <v>57</v>
      </c>
      <c r="M5" s="3" t="s">
        <v>58</v>
      </c>
      <c r="N5" s="3" t="s">
        <v>59</v>
      </c>
      <c r="O5" s="3" t="s">
        <v>60</v>
      </c>
    </row>
    <row r="6" spans="1:20" ht="13.2" x14ac:dyDescent="0.25">
      <c r="A6" s="2">
        <v>46303.998805659721</v>
      </c>
      <c r="B6" s="3" t="s">
        <v>61</v>
      </c>
      <c r="C6" s="3" t="s">
        <v>16</v>
      </c>
      <c r="D6" s="3">
        <v>2024</v>
      </c>
      <c r="E6" s="3" t="s">
        <v>62</v>
      </c>
      <c r="F6" s="6" t="s">
        <v>63</v>
      </c>
      <c r="G6" s="5" t="s">
        <v>64</v>
      </c>
      <c r="H6" s="3" t="s">
        <v>65</v>
      </c>
      <c r="I6" s="3" t="s">
        <v>44</v>
      </c>
      <c r="K6" s="3" t="s">
        <v>66</v>
      </c>
      <c r="L6" s="3" t="s">
        <v>57</v>
      </c>
      <c r="M6" s="3" t="s">
        <v>67</v>
      </c>
      <c r="N6" s="3" t="s">
        <v>68</v>
      </c>
      <c r="O6" s="3" t="s">
        <v>69</v>
      </c>
    </row>
    <row r="7" spans="1:20" ht="13.2" x14ac:dyDescent="0.25">
      <c r="A7" s="2">
        <v>46304.96698863426</v>
      </c>
      <c r="B7" s="3" t="s">
        <v>70</v>
      </c>
      <c r="C7" s="3" t="s">
        <v>71</v>
      </c>
      <c r="D7" s="3">
        <v>2026</v>
      </c>
      <c r="E7" s="3" t="s">
        <v>72</v>
      </c>
      <c r="F7" s="6" t="s">
        <v>73</v>
      </c>
      <c r="G7" s="5" t="s">
        <v>74</v>
      </c>
      <c r="H7" s="3" t="s">
        <v>20</v>
      </c>
      <c r="I7" s="3" t="s">
        <v>21</v>
      </c>
      <c r="J7" s="6" t="s">
        <v>75</v>
      </c>
      <c r="K7" s="3" t="s">
        <v>76</v>
      </c>
      <c r="L7" s="3" t="s">
        <v>35</v>
      </c>
      <c r="M7" s="3" t="s">
        <v>77</v>
      </c>
      <c r="N7" s="3" t="s">
        <v>78</v>
      </c>
    </row>
    <row r="8" spans="1:20" ht="13.2" x14ac:dyDescent="0.25">
      <c r="A8" s="2">
        <v>46304.989507939812</v>
      </c>
      <c r="B8" s="3" t="s">
        <v>79</v>
      </c>
      <c r="C8" s="3" t="s">
        <v>80</v>
      </c>
      <c r="D8" s="3">
        <v>2026</v>
      </c>
      <c r="E8" s="3" t="s">
        <v>81</v>
      </c>
      <c r="F8" s="6" t="s">
        <v>82</v>
      </c>
      <c r="G8" s="5" t="s">
        <v>83</v>
      </c>
      <c r="H8" s="3" t="s">
        <v>20</v>
      </c>
      <c r="I8" s="3" t="s">
        <v>32</v>
      </c>
      <c r="J8" s="6" t="s">
        <v>84</v>
      </c>
      <c r="K8" s="3" t="s">
        <v>85</v>
      </c>
      <c r="L8" s="3" t="s">
        <v>57</v>
      </c>
      <c r="M8" s="3" t="s">
        <v>86</v>
      </c>
      <c r="N8" s="3" t="s">
        <v>87</v>
      </c>
    </row>
    <row r="11" spans="1:20" ht="15.75" customHeight="1" x14ac:dyDescent="0.25">
      <c r="A11" cm="1">
        <f t="array" ref="A11:T11">_xlfn.SEQUENCE(1,20,1,1)</f>
        <v>1</v>
      </c>
      <c r="B11">
        <v>2</v>
      </c>
      <c r="C11">
        <v>3</v>
      </c>
      <c r="D11">
        <v>4</v>
      </c>
      <c r="E11">
        <v>5</v>
      </c>
      <c r="F11">
        <v>6</v>
      </c>
      <c r="G11">
        <v>7</v>
      </c>
      <c r="H11">
        <v>8</v>
      </c>
      <c r="I11">
        <v>9</v>
      </c>
      <c r="J11">
        <v>10</v>
      </c>
      <c r="K11">
        <v>11</v>
      </c>
      <c r="L11">
        <v>12</v>
      </c>
      <c r="M11">
        <v>13</v>
      </c>
      <c r="N11">
        <v>14</v>
      </c>
      <c r="O11">
        <v>15</v>
      </c>
      <c r="P11">
        <v>16</v>
      </c>
      <c r="Q11">
        <v>17</v>
      </c>
      <c r="R11">
        <v>18</v>
      </c>
      <c r="S11">
        <v>19</v>
      </c>
      <c r="T11">
        <v>20</v>
      </c>
    </row>
    <row r="12" spans="1:20" ht="15.75" customHeight="1" x14ac:dyDescent="0.25">
      <c r="A12" t="s">
        <v>0</v>
      </c>
      <c r="B12" t="s">
        <v>1</v>
      </c>
      <c r="C12" t="s">
        <v>2</v>
      </c>
      <c r="D12" t="s">
        <v>3</v>
      </c>
      <c r="E12" t="s">
        <v>4</v>
      </c>
      <c r="F12" t="s">
        <v>5</v>
      </c>
      <c r="G12" t="s">
        <v>6</v>
      </c>
      <c r="H12" t="s">
        <v>7</v>
      </c>
      <c r="I12" t="s">
        <v>88</v>
      </c>
      <c r="J12" t="s">
        <v>89</v>
      </c>
      <c r="K12" t="s">
        <v>90</v>
      </c>
      <c r="L12" t="s">
        <v>91</v>
      </c>
      <c r="M12" t="s">
        <v>92</v>
      </c>
      <c r="N12" t="s">
        <v>93</v>
      </c>
      <c r="O12" t="s">
        <v>94</v>
      </c>
    </row>
    <row r="13" spans="1:20" ht="15.75" customHeight="1" x14ac:dyDescent="0.25">
      <c r="A13" s="7">
        <v>46292.778625208332</v>
      </c>
      <c r="B13" t="s">
        <v>15</v>
      </c>
      <c r="C13" t="s">
        <v>16</v>
      </c>
      <c r="D13">
        <v>2026</v>
      </c>
      <c r="E13" t="s">
        <v>17</v>
      </c>
      <c r="F13" t="s">
        <v>18</v>
      </c>
      <c r="G13" t="s">
        <v>19</v>
      </c>
      <c r="H13" t="s">
        <v>20</v>
      </c>
      <c r="I13" t="s">
        <v>21</v>
      </c>
      <c r="J13" t="s">
        <v>22</v>
      </c>
      <c r="K13" t="s">
        <v>23</v>
      </c>
      <c r="L13" t="s">
        <v>24</v>
      </c>
      <c r="M13" t="s">
        <v>25</v>
      </c>
      <c r="N13" t="s">
        <v>25</v>
      </c>
      <c r="O13" t="s">
        <v>25</v>
      </c>
    </row>
    <row r="14" spans="1:20" ht="15.75" customHeight="1" x14ac:dyDescent="0.25">
      <c r="A14" s="7">
        <v>46295.748485104166</v>
      </c>
      <c r="B14" t="s">
        <v>26</v>
      </c>
      <c r="C14" t="s">
        <v>27</v>
      </c>
      <c r="D14">
        <v>2024</v>
      </c>
      <c r="E14" t="s">
        <v>28</v>
      </c>
      <c r="F14" t="s">
        <v>29</v>
      </c>
      <c r="G14" t="s">
        <v>30</v>
      </c>
      <c r="H14" t="s">
        <v>31</v>
      </c>
      <c r="I14" t="s">
        <v>32</v>
      </c>
      <c r="J14" t="s">
        <v>33</v>
      </c>
      <c r="K14" t="s">
        <v>34</v>
      </c>
      <c r="L14" t="s">
        <v>35</v>
      </c>
      <c r="M14" t="s">
        <v>36</v>
      </c>
      <c r="N14" t="s">
        <v>37</v>
      </c>
      <c r="O14" t="s">
        <v>38</v>
      </c>
    </row>
    <row r="15" spans="1:20" ht="15.75" customHeight="1" x14ac:dyDescent="0.25">
      <c r="A15" s="7">
        <v>46296.745251840279</v>
      </c>
      <c r="B15" t="s">
        <v>39</v>
      </c>
      <c r="C15" t="s">
        <v>40</v>
      </c>
      <c r="D15">
        <v>2025</v>
      </c>
      <c r="E15" t="s">
        <v>41</v>
      </c>
      <c r="F15" t="s">
        <v>42</v>
      </c>
      <c r="G15" t="s">
        <v>43</v>
      </c>
      <c r="H15" t="s">
        <v>20</v>
      </c>
      <c r="I15" t="s">
        <v>44</v>
      </c>
      <c r="J15" t="s">
        <v>45</v>
      </c>
      <c r="K15" t="s">
        <v>46</v>
      </c>
      <c r="L15" t="s">
        <v>35</v>
      </c>
      <c r="M15" t="s">
        <v>47</v>
      </c>
      <c r="N15" t="s">
        <v>48</v>
      </c>
    </row>
    <row r="16" spans="1:20" ht="15.75" customHeight="1" x14ac:dyDescent="0.25">
      <c r="A16" s="7">
        <v>46303.546308275458</v>
      </c>
      <c r="B16" t="s">
        <v>49</v>
      </c>
      <c r="C16" t="s">
        <v>50</v>
      </c>
      <c r="D16">
        <v>2025</v>
      </c>
      <c r="E16" t="s">
        <v>51</v>
      </c>
      <c r="F16" t="s">
        <v>52</v>
      </c>
      <c r="G16" t="s">
        <v>53</v>
      </c>
      <c r="H16" t="s">
        <v>20</v>
      </c>
      <c r="I16" t="s">
        <v>54</v>
      </c>
      <c r="J16" t="s">
        <v>55</v>
      </c>
      <c r="K16" t="s">
        <v>56</v>
      </c>
      <c r="L16" t="s">
        <v>57</v>
      </c>
      <c r="M16" t="s">
        <v>58</v>
      </c>
      <c r="N16" t="s">
        <v>59</v>
      </c>
      <c r="O16" t="s">
        <v>60</v>
      </c>
    </row>
    <row r="17" spans="1:15" ht="15.75" customHeight="1" x14ac:dyDescent="0.25">
      <c r="A17" s="7">
        <v>46303.998805659721</v>
      </c>
      <c r="B17" t="s">
        <v>61</v>
      </c>
      <c r="C17" t="s">
        <v>16</v>
      </c>
      <c r="D17">
        <v>2024</v>
      </c>
      <c r="E17" t="s">
        <v>62</v>
      </c>
      <c r="F17" t="s">
        <v>63</v>
      </c>
      <c r="G17" t="s">
        <v>64</v>
      </c>
      <c r="H17" t="s">
        <v>65</v>
      </c>
      <c r="I17" t="s">
        <v>44</v>
      </c>
      <c r="K17" t="s">
        <v>66</v>
      </c>
      <c r="L17" t="s">
        <v>57</v>
      </c>
      <c r="M17" t="s">
        <v>67</v>
      </c>
      <c r="N17" t="s">
        <v>68</v>
      </c>
      <c r="O17" t="s">
        <v>69</v>
      </c>
    </row>
    <row r="18" spans="1:15" ht="15.75" customHeight="1" x14ac:dyDescent="0.25">
      <c r="A18" s="7">
        <v>46304.96698863426</v>
      </c>
      <c r="B18" t="s">
        <v>70</v>
      </c>
      <c r="C18" t="s">
        <v>71</v>
      </c>
      <c r="D18">
        <v>2026</v>
      </c>
      <c r="E18" t="s">
        <v>72</v>
      </c>
      <c r="F18" t="s">
        <v>73</v>
      </c>
      <c r="G18" t="s">
        <v>74</v>
      </c>
      <c r="H18" t="s">
        <v>20</v>
      </c>
      <c r="I18" t="s">
        <v>21</v>
      </c>
      <c r="J18" t="s">
        <v>75</v>
      </c>
      <c r="K18" t="s">
        <v>76</v>
      </c>
      <c r="L18" t="s">
        <v>35</v>
      </c>
      <c r="M18" t="s">
        <v>77</v>
      </c>
      <c r="N18" t="s">
        <v>78</v>
      </c>
    </row>
    <row r="19" spans="1:15" ht="15.75" customHeight="1" x14ac:dyDescent="0.25">
      <c r="A19" s="7">
        <v>46304.989507939812</v>
      </c>
      <c r="B19" t="s">
        <v>79</v>
      </c>
      <c r="C19" t="s">
        <v>80</v>
      </c>
      <c r="D19">
        <v>2026</v>
      </c>
      <c r="E19" t="s">
        <v>81</v>
      </c>
      <c r="F19" t="s">
        <v>82</v>
      </c>
      <c r="G19" t="s">
        <v>83</v>
      </c>
      <c r="H19" t="s">
        <v>20</v>
      </c>
      <c r="I19" t="s">
        <v>32</v>
      </c>
      <c r="J19" t="s">
        <v>84</v>
      </c>
      <c r="K19" t="s">
        <v>85</v>
      </c>
      <c r="L19" t="s">
        <v>57</v>
      </c>
      <c r="M19" t="s">
        <v>86</v>
      </c>
      <c r="N19" t="s">
        <v>87</v>
      </c>
    </row>
  </sheetData>
  <hyperlinks>
    <hyperlink ref="F2" r:id="rId1" xr:uid="{00000000-0004-0000-0000-000000000000}"/>
    <hyperlink ref="J2" r:id="rId2" xr:uid="{00000000-0004-0000-0000-000001000000}"/>
    <hyperlink ref="F3" r:id="rId3" xr:uid="{00000000-0004-0000-0000-000002000000}"/>
    <hyperlink ref="J3" r:id="rId4" xr:uid="{00000000-0004-0000-0000-000003000000}"/>
    <hyperlink ref="F4" r:id="rId5" xr:uid="{00000000-0004-0000-0000-000004000000}"/>
    <hyperlink ref="J4" r:id="rId6" xr:uid="{00000000-0004-0000-0000-000005000000}"/>
    <hyperlink ref="F5" r:id="rId7" xr:uid="{00000000-0004-0000-0000-000006000000}"/>
    <hyperlink ref="J5" r:id="rId8" xr:uid="{00000000-0004-0000-0000-000007000000}"/>
    <hyperlink ref="F6" r:id="rId9" xr:uid="{00000000-0004-0000-0000-000008000000}"/>
    <hyperlink ref="F7" r:id="rId10" xr:uid="{00000000-0004-0000-0000-000009000000}"/>
    <hyperlink ref="J7" r:id="rId11" xr:uid="{00000000-0004-0000-0000-00000A000000}"/>
    <hyperlink ref="F8" r:id="rId12" xr:uid="{00000000-0004-0000-0000-00000B000000}"/>
    <hyperlink ref="J8" r:id="rId13" xr:uid="{00000000-0004-0000-0000-00000C000000}"/>
  </hyperlinks>
  <pageMargins left="0.7" right="0.7" top="0.75" bottom="0.75" header="0.3" footer="0.3"/>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37289-EB54-46B4-B07F-2E75098E675F}">
  <dimension ref="A1:H30"/>
  <sheetViews>
    <sheetView showGridLines="0" topLeftCell="A20" zoomScale="85" zoomScaleNormal="85" workbookViewId="0">
      <selection activeCell="H11" sqref="A11:H30"/>
    </sheetView>
  </sheetViews>
  <sheetFormatPr defaultRowHeight="13.8" x14ac:dyDescent="0.3"/>
  <cols>
    <col min="1" max="1" width="47.33203125" style="20" bestFit="1" customWidth="1"/>
    <col min="2" max="2" width="23.6640625" style="20" bestFit="1" customWidth="1"/>
    <col min="3" max="3" width="116.33203125" style="20" bestFit="1" customWidth="1"/>
    <col min="4" max="4" width="50.44140625" style="20" bestFit="1" customWidth="1"/>
    <col min="5" max="5" width="89.88671875" style="20" bestFit="1" customWidth="1"/>
    <col min="6" max="6" width="58" style="20" bestFit="1" customWidth="1"/>
    <col min="7" max="7" width="16.33203125" style="20" bestFit="1" customWidth="1"/>
    <col min="8" max="16384" width="8.88671875" style="20"/>
  </cols>
  <sheetData>
    <row r="1" spans="1:8" x14ac:dyDescent="0.3">
      <c r="A1" s="19" t="s">
        <v>21</v>
      </c>
    </row>
    <row r="3" spans="1:8" ht="27.6" x14ac:dyDescent="0.3">
      <c r="A3" s="21" t="s">
        <v>1</v>
      </c>
      <c r="B3" s="21" t="s">
        <v>2</v>
      </c>
      <c r="D3" s="22" t="s">
        <v>154</v>
      </c>
      <c r="E3" s="22" t="s">
        <v>155</v>
      </c>
    </row>
    <row r="4" spans="1:8" x14ac:dyDescent="0.3">
      <c r="A4" s="20" t="str" cm="1">
        <f t="array" ref="A4:E5">_xlfn._xlws.FILTER(_xlfn.CHOOSECOLS(data!$A$12:$O$19,2,9,10,11,13),data!$I$12:$I$19=A1,"Không có ứng viên")</f>
        <v>Nguyễn Minh Thảo Nguyên</v>
      </c>
      <c r="B4" s="20" t="str">
        <v>Program (Event Coordinator / On-site Coordinator)</v>
      </c>
      <c r="C4" s="20" t="str">
        <v>https://drive.google.com/open?id=1qd5Zh8VnByGXhQMhX8gSxTwHZ5Ty_eeZ</v>
      </c>
      <c r="D4" s="20" t="str">
        <v xml:space="preserve">Em mong muốn được học hỏi thêm nhiều kiến thức về những giải pháp tối ưu bảo vệ môi trường, đồng thời em cũng muốn trải nghiệm những hoạt động thực tế về môi trường, về những giải pháp xanh. </v>
      </c>
      <c r="E4" s="20" t="str">
        <v>Dạ không</v>
      </c>
    </row>
    <row r="5" spans="1:8" x14ac:dyDescent="0.3">
      <c r="A5" s="20" t="str">
        <v>Lê Nguyễn Châu Anh</v>
      </c>
      <c r="B5" s="20" t="str">
        <v>Program (Event Coordinator / On-site Coordinator)</v>
      </c>
      <c r="C5" s="20" t="str">
        <v>https://drive.google.com/open?id=1HAJBHFMuiyHWodvaLbBwWbjfx3OI517q</v>
      </c>
      <c r="D5" s="20" t="str">
        <v>Mình mong muốn được phát triển tầm hiểu biết và đam mê trong các vấn đề về kỹ thuật bền vững.</v>
      </c>
      <c r="E5" s="20" t="str">
        <v>Mình từng làm thành viên nòng cốt ban Chương trình - CLB Văn hóa Đức THPT chuyên Trần Đại Nghĩa 2022 - 2023; Phó Chủ nhiệm kiêm Trưởng ban Chương trình - CLB Văn hóa Đức THPT chuyên Trần Đại Nghĩa 2023 - 2024 ạ.</v>
      </c>
    </row>
    <row r="11" spans="1:8" x14ac:dyDescent="0.3">
      <c r="A11" s="16" t="s">
        <v>146</v>
      </c>
      <c r="B11" s="16" t="s">
        <v>147</v>
      </c>
      <c r="C11" s="16" t="s">
        <v>148</v>
      </c>
      <c r="D11" s="16" t="s">
        <v>149</v>
      </c>
      <c r="E11" s="16" t="s">
        <v>150</v>
      </c>
      <c r="F11" s="16" t="s">
        <v>295</v>
      </c>
      <c r="G11" s="16" t="s">
        <v>151</v>
      </c>
      <c r="H11" s="16" t="s">
        <v>152</v>
      </c>
    </row>
    <row r="12" spans="1:8" ht="14.4" x14ac:dyDescent="0.3">
      <c r="A12" s="14" t="s">
        <v>153</v>
      </c>
      <c r="B12" s="15"/>
      <c r="C12" s="15"/>
      <c r="D12" s="15"/>
      <c r="E12" s="15"/>
      <c r="F12" s="15"/>
      <c r="G12" s="15"/>
      <c r="H12" s="15"/>
    </row>
    <row r="13" spans="1:8" ht="39.6" x14ac:dyDescent="0.3">
      <c r="A13" s="12">
        <v>1</v>
      </c>
      <c r="B13" s="13" t="s">
        <v>95</v>
      </c>
      <c r="C13" s="13" t="s">
        <v>96</v>
      </c>
      <c r="D13" s="13" t="s">
        <v>97</v>
      </c>
      <c r="E13" s="13" t="s">
        <v>98</v>
      </c>
      <c r="F13" s="13" t="s">
        <v>296</v>
      </c>
      <c r="G13" s="17"/>
      <c r="H13" s="18"/>
    </row>
    <row r="14" spans="1:8" ht="39.6" x14ac:dyDescent="0.3">
      <c r="A14" s="12">
        <v>2</v>
      </c>
      <c r="B14" s="13" t="s">
        <v>95</v>
      </c>
      <c r="C14" s="13" t="s">
        <v>99</v>
      </c>
      <c r="D14" s="13" t="s">
        <v>100</v>
      </c>
      <c r="E14" s="13" t="s">
        <v>101</v>
      </c>
      <c r="F14" s="13" t="s">
        <v>297</v>
      </c>
      <c r="G14" s="17"/>
      <c r="H14" s="18"/>
    </row>
    <row r="15" spans="1:8" ht="39.6" x14ac:dyDescent="0.3">
      <c r="A15" s="12">
        <v>3</v>
      </c>
      <c r="B15" s="13" t="s">
        <v>95</v>
      </c>
      <c r="C15" s="13" t="s">
        <v>102</v>
      </c>
      <c r="D15" s="13" t="s">
        <v>103</v>
      </c>
      <c r="E15" s="13" t="s">
        <v>104</v>
      </c>
      <c r="F15" s="13" t="s">
        <v>298</v>
      </c>
      <c r="G15" s="17"/>
      <c r="H15" s="18"/>
    </row>
    <row r="16" spans="1:8" ht="39.6" x14ac:dyDescent="0.3">
      <c r="A16" s="12">
        <v>4</v>
      </c>
      <c r="B16" s="13" t="s">
        <v>15</v>
      </c>
      <c r="C16" s="13" t="s">
        <v>105</v>
      </c>
      <c r="D16" s="13" t="s">
        <v>106</v>
      </c>
      <c r="E16" s="13" t="s">
        <v>107</v>
      </c>
      <c r="F16" s="13" t="s">
        <v>299</v>
      </c>
      <c r="G16" s="17"/>
      <c r="H16" s="18"/>
    </row>
    <row r="17" spans="1:8" ht="39.6" x14ac:dyDescent="0.3">
      <c r="A17" s="12">
        <v>5</v>
      </c>
      <c r="B17" s="13" t="s">
        <v>70</v>
      </c>
      <c r="C17" s="13" t="s">
        <v>108</v>
      </c>
      <c r="D17" s="13" t="s">
        <v>109</v>
      </c>
      <c r="E17" s="13" t="s">
        <v>110</v>
      </c>
      <c r="F17" s="13" t="s">
        <v>300</v>
      </c>
      <c r="G17" s="17"/>
      <c r="H17" s="18"/>
    </row>
    <row r="18" spans="1:8" ht="14.4" x14ac:dyDescent="0.3">
      <c r="A18" s="14" t="s">
        <v>111</v>
      </c>
      <c r="B18" s="15"/>
      <c r="C18" s="15"/>
      <c r="D18" s="15"/>
      <c r="E18" s="15"/>
      <c r="F18" s="15"/>
      <c r="G18" s="15"/>
      <c r="H18" s="15"/>
    </row>
    <row r="19" spans="1:8" ht="39.6" x14ac:dyDescent="0.3">
      <c r="A19" s="12">
        <v>6</v>
      </c>
      <c r="B19" s="13" t="s">
        <v>95</v>
      </c>
      <c r="C19" s="13" t="s">
        <v>112</v>
      </c>
      <c r="D19" s="13" t="s">
        <v>113</v>
      </c>
      <c r="E19" s="13" t="s">
        <v>114</v>
      </c>
      <c r="F19" s="13" t="s">
        <v>301</v>
      </c>
      <c r="G19" s="17"/>
      <c r="H19" s="18"/>
    </row>
    <row r="20" spans="1:8" ht="39.6" x14ac:dyDescent="0.3">
      <c r="A20" s="12">
        <v>7</v>
      </c>
      <c r="B20" s="13" t="s">
        <v>95</v>
      </c>
      <c r="C20" s="13" t="s">
        <v>115</v>
      </c>
      <c r="D20" s="13" t="s">
        <v>116</v>
      </c>
      <c r="E20" s="13" t="s">
        <v>117</v>
      </c>
      <c r="F20" s="13" t="s">
        <v>302</v>
      </c>
      <c r="G20" s="17"/>
      <c r="H20" s="18"/>
    </row>
    <row r="21" spans="1:8" ht="39.6" x14ac:dyDescent="0.3">
      <c r="A21" s="12">
        <v>8</v>
      </c>
      <c r="B21" s="13" t="s">
        <v>95</v>
      </c>
      <c r="C21" s="13" t="s">
        <v>118</v>
      </c>
      <c r="D21" s="13" t="s">
        <v>119</v>
      </c>
      <c r="E21" s="13" t="s">
        <v>120</v>
      </c>
      <c r="F21" s="13" t="s">
        <v>303</v>
      </c>
      <c r="G21" s="17"/>
      <c r="H21" s="18"/>
    </row>
    <row r="22" spans="1:8" ht="39.6" x14ac:dyDescent="0.3">
      <c r="A22" s="12">
        <v>9</v>
      </c>
      <c r="B22" s="13" t="s">
        <v>95</v>
      </c>
      <c r="C22" s="13" t="s">
        <v>121</v>
      </c>
      <c r="D22" s="13" t="s">
        <v>122</v>
      </c>
      <c r="E22" s="13" t="s">
        <v>123</v>
      </c>
      <c r="F22" s="13" t="s">
        <v>304</v>
      </c>
      <c r="G22" s="17"/>
      <c r="H22" s="18"/>
    </row>
    <row r="23" spans="1:8" ht="39.6" x14ac:dyDescent="0.3">
      <c r="A23" s="12">
        <v>10</v>
      </c>
      <c r="B23" s="13" t="s">
        <v>95</v>
      </c>
      <c r="C23" s="13" t="s">
        <v>124</v>
      </c>
      <c r="D23" s="13" t="s">
        <v>125</v>
      </c>
      <c r="E23" s="13" t="s">
        <v>126</v>
      </c>
      <c r="F23" s="13" t="s">
        <v>305</v>
      </c>
      <c r="G23" s="17"/>
      <c r="H23" s="18"/>
    </row>
    <row r="24" spans="1:8" ht="39.6" x14ac:dyDescent="0.3">
      <c r="A24" s="12">
        <v>11</v>
      </c>
      <c r="B24" s="13" t="s">
        <v>95</v>
      </c>
      <c r="C24" s="13" t="s">
        <v>127</v>
      </c>
      <c r="D24" s="13" t="s">
        <v>128</v>
      </c>
      <c r="E24" s="13" t="s">
        <v>129</v>
      </c>
      <c r="F24" s="13" t="s">
        <v>306</v>
      </c>
      <c r="G24" s="17"/>
      <c r="H24" s="18"/>
    </row>
    <row r="25" spans="1:8" ht="14.4" x14ac:dyDescent="0.3">
      <c r="A25" s="14" t="s">
        <v>130</v>
      </c>
      <c r="B25" s="15"/>
      <c r="C25" s="15"/>
      <c r="D25" s="15"/>
      <c r="E25" s="15"/>
      <c r="F25" s="15"/>
      <c r="G25" s="15"/>
      <c r="H25" s="15"/>
    </row>
    <row r="26" spans="1:8" ht="39.6" x14ac:dyDescent="0.3">
      <c r="A26" s="12">
        <v>12</v>
      </c>
      <c r="B26" s="13" t="s">
        <v>95</v>
      </c>
      <c r="C26" s="13" t="s">
        <v>131</v>
      </c>
      <c r="D26" s="13" t="s">
        <v>132</v>
      </c>
      <c r="E26" s="13" t="s">
        <v>133</v>
      </c>
      <c r="F26" s="13" t="s">
        <v>307</v>
      </c>
      <c r="G26" s="17"/>
      <c r="H26" s="18"/>
    </row>
    <row r="27" spans="1:8" ht="39.6" x14ac:dyDescent="0.3">
      <c r="A27" s="12">
        <v>13</v>
      </c>
      <c r="B27" s="13" t="s">
        <v>95</v>
      </c>
      <c r="C27" s="13" t="s">
        <v>134</v>
      </c>
      <c r="D27" s="13" t="s">
        <v>135</v>
      </c>
      <c r="E27" s="13" t="s">
        <v>136</v>
      </c>
      <c r="F27" s="13" t="s">
        <v>308</v>
      </c>
      <c r="G27" s="17"/>
      <c r="H27" s="18"/>
    </row>
    <row r="28" spans="1:8" ht="39.6" x14ac:dyDescent="0.3">
      <c r="A28" s="12">
        <v>14</v>
      </c>
      <c r="B28" s="13" t="s">
        <v>95</v>
      </c>
      <c r="C28" s="13" t="s">
        <v>137</v>
      </c>
      <c r="D28" s="13" t="s">
        <v>138</v>
      </c>
      <c r="E28" s="13" t="s">
        <v>139</v>
      </c>
      <c r="F28" s="13" t="s">
        <v>309</v>
      </c>
      <c r="G28" s="17"/>
      <c r="H28" s="18"/>
    </row>
    <row r="29" spans="1:8" ht="39.6" x14ac:dyDescent="0.3">
      <c r="A29" s="12">
        <v>15</v>
      </c>
      <c r="B29" s="13" t="s">
        <v>95</v>
      </c>
      <c r="C29" s="13" t="s">
        <v>140</v>
      </c>
      <c r="D29" s="13" t="s">
        <v>141</v>
      </c>
      <c r="E29" s="13" t="s">
        <v>142</v>
      </c>
      <c r="F29" s="13" t="s">
        <v>310</v>
      </c>
      <c r="G29" s="17"/>
      <c r="H29" s="18"/>
    </row>
    <row r="30" spans="1:8" ht="39.6" x14ac:dyDescent="0.3">
      <c r="A30" s="12">
        <v>16</v>
      </c>
      <c r="B30" s="13" t="s">
        <v>95</v>
      </c>
      <c r="C30" s="13" t="s">
        <v>143</v>
      </c>
      <c r="D30" s="13" t="s">
        <v>144</v>
      </c>
      <c r="E30" s="13" t="s">
        <v>145</v>
      </c>
      <c r="F30" s="13" t="s">
        <v>311</v>
      </c>
      <c r="G30" s="17"/>
      <c r="H30" s="18"/>
    </row>
  </sheetData>
  <autoFilter ref="A11:G30" xr:uid="{AF237289-EB54-46B4-B07F-2E75098E675F}"/>
  <dataValidations count="1">
    <dataValidation type="whole" allowBlank="1" showErrorMessage="1" errorTitle="Điểm không hợp lệ" error="Nhập số nguyên từ 1 đến 5" sqref="G13:G17 G19:G24 G26:G30" xr:uid="{A73BAE3B-178E-46CF-8F78-052946D975D3}">
      <formula1>1</formula1>
      <formula2>5</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8EC9840-2791-49A6-A104-8B9EB9CC82ED}">
          <x14:formula1>
            <xm:f>data!$I$13:$I$19</xm:f>
          </x14:formula1>
          <xm:sqref>A1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FC166-59F4-45F6-9BCB-A15117EDBEB5}">
  <dimension ref="A1:H32"/>
  <sheetViews>
    <sheetView showGridLines="0" topLeftCell="C5" zoomScale="35" zoomScaleNormal="55" workbookViewId="0">
      <selection activeCell="F17" sqref="A1:XFD1048576"/>
    </sheetView>
  </sheetViews>
  <sheetFormatPr defaultColWidth="95" defaultRowHeight="13.2" x14ac:dyDescent="0.25"/>
  <cols>
    <col min="1" max="1" width="45.5546875" bestFit="1" customWidth="1"/>
    <col min="2" max="2" width="23" bestFit="1" customWidth="1"/>
    <col min="3" max="3" width="154.6640625" bestFit="1" customWidth="1"/>
    <col min="4" max="4" width="210" bestFit="1" customWidth="1"/>
    <col min="5" max="5" width="71.5546875" bestFit="1" customWidth="1"/>
    <col min="6" max="6" width="53.109375" bestFit="1" customWidth="1"/>
    <col min="7" max="7" width="10.88671875" bestFit="1" customWidth="1"/>
    <col min="8" max="8" width="9" bestFit="1" customWidth="1"/>
  </cols>
  <sheetData>
    <row r="1" spans="1:8" x14ac:dyDescent="0.25">
      <c r="A1" s="9" t="s">
        <v>32</v>
      </c>
    </row>
    <row r="3" spans="1:8" ht="26.4" x14ac:dyDescent="0.25">
      <c r="A3" s="10" t="s">
        <v>1</v>
      </c>
      <c r="B3" s="10" t="s">
        <v>2</v>
      </c>
      <c r="C3" s="11" t="s">
        <v>10</v>
      </c>
      <c r="D3" s="11" t="s">
        <v>14</v>
      </c>
    </row>
    <row r="4" spans="1:8" x14ac:dyDescent="0.25">
      <c r="A4" t="str" cm="1">
        <f t="array" ref="A4:D5">_xlfn._xlws.FILTER(_xlfn.CHOOSECOLS(data!$A$12:$O$19,2,9,11,13),data!$I$12:$I$19=A1,"Không có ứng viên")</f>
        <v>Nguyen Nhat Anh</v>
      </c>
      <c r="B4" t="str">
        <v>Media - Graphic Designer</v>
      </c>
      <c r="C4" t="str">
        <v>tham gia dự án</v>
      </c>
      <c r="D4" t="str">
        <v>vẽ được 1 vài chi tiết như engine và phuộc</v>
      </c>
    </row>
    <row r="5" spans="1:8" x14ac:dyDescent="0.25">
      <c r="A5" t="str">
        <v>Phan Hoàng Thanh Dung</v>
      </c>
      <c r="B5" t="str">
        <v>Media - Graphic Designer</v>
      </c>
      <c r="C5" t="str">
        <v xml:space="preserve">Em muốn tìm hiểu thêm về các giải pháp kỹ thuật xanh và bền vững, cách hiện thực hoá dự án cộng đồng, học hỏi và tham gia các cuộc thi, dự án với các anh chị, các bạn </v>
      </c>
      <c r="D5" t="str">
        <v xml:space="preserve">Em từng trong ban Design của nhiều câu lạc bộ: PTNK Science Community, Nguồn Project, NGUOC International, Khám phá khoa học,....
Design portfolio: https://drive.google.com/drive/u/2/folders/1NwqCSL-6a_fD3l8XqBVtclr-j-D6jQWf </v>
      </c>
    </row>
    <row r="9" spans="1:8" x14ac:dyDescent="0.25">
      <c r="A9" s="8"/>
    </row>
    <row r="13" spans="1:8" ht="27.6" x14ac:dyDescent="0.25">
      <c r="A13" s="16" t="s">
        <v>146</v>
      </c>
      <c r="B13" s="16" t="s">
        <v>147</v>
      </c>
      <c r="C13" s="16" t="s">
        <v>148</v>
      </c>
      <c r="D13" s="16" t="s">
        <v>149</v>
      </c>
      <c r="E13" s="16" t="s">
        <v>150</v>
      </c>
      <c r="F13" s="16" t="s">
        <v>295</v>
      </c>
      <c r="G13" s="16" t="s">
        <v>151</v>
      </c>
      <c r="H13" s="16" t="s">
        <v>152</v>
      </c>
    </row>
    <row r="14" spans="1:8" ht="13.8" x14ac:dyDescent="0.25">
      <c r="A14" s="14" t="s">
        <v>153</v>
      </c>
      <c r="B14" s="15"/>
      <c r="C14" s="15"/>
      <c r="D14" s="15"/>
      <c r="E14" s="15"/>
      <c r="F14" s="15"/>
      <c r="G14" s="15"/>
      <c r="H14" s="15"/>
    </row>
    <row r="15" spans="1:8" ht="39.6" x14ac:dyDescent="0.25">
      <c r="A15" s="12">
        <v>1</v>
      </c>
      <c r="B15" s="13" t="s">
        <v>95</v>
      </c>
      <c r="C15" s="13" t="s">
        <v>156</v>
      </c>
      <c r="D15" s="13" t="s">
        <v>157</v>
      </c>
      <c r="E15" s="13" t="s">
        <v>158</v>
      </c>
      <c r="F15" s="13" t="s">
        <v>312</v>
      </c>
      <c r="G15" s="17"/>
      <c r="H15" s="18"/>
    </row>
    <row r="16" spans="1:8" ht="39.6" x14ac:dyDescent="0.25">
      <c r="A16" s="12">
        <v>2</v>
      </c>
      <c r="B16" s="13" t="s">
        <v>95</v>
      </c>
      <c r="C16" s="13" t="s">
        <v>159</v>
      </c>
      <c r="D16" s="13" t="s">
        <v>160</v>
      </c>
      <c r="E16" s="13" t="s">
        <v>161</v>
      </c>
      <c r="F16" s="13" t="s">
        <v>313</v>
      </c>
      <c r="G16" s="17"/>
      <c r="H16" s="18"/>
    </row>
    <row r="17" spans="1:8" ht="39.6" x14ac:dyDescent="0.25">
      <c r="A17" s="12">
        <v>3</v>
      </c>
      <c r="B17" s="13" t="s">
        <v>95</v>
      </c>
      <c r="C17" s="13" t="s">
        <v>162</v>
      </c>
      <c r="D17" s="13" t="s">
        <v>163</v>
      </c>
      <c r="E17" s="13" t="s">
        <v>164</v>
      </c>
      <c r="F17" s="13" t="s">
        <v>314</v>
      </c>
      <c r="G17" s="17"/>
      <c r="H17" s="18"/>
    </row>
    <row r="18" spans="1:8" ht="39.6" x14ac:dyDescent="0.25">
      <c r="A18" s="12">
        <v>4</v>
      </c>
      <c r="B18" s="13" t="s">
        <v>26</v>
      </c>
      <c r="C18" s="13" t="s">
        <v>165</v>
      </c>
      <c r="D18" s="13" t="s">
        <v>166</v>
      </c>
      <c r="E18" s="13" t="s">
        <v>167</v>
      </c>
      <c r="F18" s="13" t="s">
        <v>315</v>
      </c>
      <c r="G18" s="17"/>
      <c r="H18" s="18"/>
    </row>
    <row r="19" spans="1:8" ht="39.6" x14ac:dyDescent="0.25">
      <c r="A19" s="12">
        <v>5</v>
      </c>
      <c r="B19" s="13" t="s">
        <v>79</v>
      </c>
      <c r="C19" s="13" t="s">
        <v>168</v>
      </c>
      <c r="D19" s="13" t="s">
        <v>169</v>
      </c>
      <c r="E19" s="13" t="s">
        <v>170</v>
      </c>
      <c r="F19" s="13" t="s">
        <v>316</v>
      </c>
      <c r="G19" s="17"/>
      <c r="H19" s="18"/>
    </row>
    <row r="20" spans="1:8" ht="13.8" x14ac:dyDescent="0.25">
      <c r="A20" s="14" t="s">
        <v>111</v>
      </c>
      <c r="B20" s="15"/>
      <c r="C20" s="15"/>
      <c r="D20" s="15"/>
      <c r="E20" s="15"/>
      <c r="F20" s="15"/>
      <c r="G20" s="15"/>
      <c r="H20" s="15"/>
    </row>
    <row r="21" spans="1:8" ht="39.6" x14ac:dyDescent="0.25">
      <c r="A21" s="12">
        <v>6</v>
      </c>
      <c r="B21" s="13" t="s">
        <v>95</v>
      </c>
      <c r="C21" s="13" t="s">
        <v>171</v>
      </c>
      <c r="D21" s="13" t="s">
        <v>172</v>
      </c>
      <c r="E21" s="13" t="s">
        <v>173</v>
      </c>
      <c r="F21" s="13" t="s">
        <v>317</v>
      </c>
      <c r="G21" s="17"/>
      <c r="H21" s="18"/>
    </row>
    <row r="22" spans="1:8" ht="39.6" x14ac:dyDescent="0.25">
      <c r="A22" s="12">
        <v>7</v>
      </c>
      <c r="B22" s="13" t="s">
        <v>95</v>
      </c>
      <c r="C22" s="13" t="s">
        <v>174</v>
      </c>
      <c r="D22" s="13" t="s">
        <v>175</v>
      </c>
      <c r="E22" s="13" t="s">
        <v>176</v>
      </c>
      <c r="F22" s="13" t="s">
        <v>318</v>
      </c>
      <c r="G22" s="17"/>
      <c r="H22" s="18"/>
    </row>
    <row r="23" spans="1:8" ht="39.6" x14ac:dyDescent="0.25">
      <c r="A23" s="12">
        <v>8</v>
      </c>
      <c r="B23" s="13" t="s">
        <v>95</v>
      </c>
      <c r="C23" s="13" t="s">
        <v>177</v>
      </c>
      <c r="D23" s="13" t="s">
        <v>178</v>
      </c>
      <c r="E23" s="13" t="s">
        <v>179</v>
      </c>
      <c r="F23" s="13" t="s">
        <v>319</v>
      </c>
      <c r="G23" s="17"/>
      <c r="H23" s="18"/>
    </row>
    <row r="24" spans="1:8" ht="39.6" x14ac:dyDescent="0.25">
      <c r="A24" s="12">
        <v>9</v>
      </c>
      <c r="B24" s="13" t="s">
        <v>95</v>
      </c>
      <c r="C24" s="13" t="s">
        <v>180</v>
      </c>
      <c r="D24" s="13" t="s">
        <v>181</v>
      </c>
      <c r="E24" s="13" t="s">
        <v>182</v>
      </c>
      <c r="F24" s="13" t="s">
        <v>320</v>
      </c>
      <c r="G24" s="17"/>
      <c r="H24" s="18"/>
    </row>
    <row r="25" spans="1:8" ht="39.6" x14ac:dyDescent="0.25">
      <c r="A25" s="12">
        <v>10</v>
      </c>
      <c r="B25" s="13" t="s">
        <v>95</v>
      </c>
      <c r="C25" s="13" t="s">
        <v>183</v>
      </c>
      <c r="D25" s="13" t="s">
        <v>184</v>
      </c>
      <c r="E25" s="13" t="s">
        <v>185</v>
      </c>
      <c r="F25" s="13" t="s">
        <v>321</v>
      </c>
      <c r="G25" s="17"/>
      <c r="H25" s="18"/>
    </row>
    <row r="26" spans="1:8" ht="39.6" x14ac:dyDescent="0.25">
      <c r="A26" s="12">
        <v>11</v>
      </c>
      <c r="B26" s="13" t="s">
        <v>95</v>
      </c>
      <c r="C26" s="13" t="s">
        <v>186</v>
      </c>
      <c r="D26" s="13" t="s">
        <v>187</v>
      </c>
      <c r="E26" s="13" t="s">
        <v>188</v>
      </c>
      <c r="F26" s="13" t="s">
        <v>322</v>
      </c>
      <c r="G26" s="17"/>
      <c r="H26" s="18"/>
    </row>
    <row r="27" spans="1:8" ht="13.8" x14ac:dyDescent="0.25">
      <c r="A27" s="14" t="s">
        <v>130</v>
      </c>
      <c r="B27" s="15"/>
      <c r="C27" s="15"/>
      <c r="D27" s="15"/>
      <c r="E27" s="15"/>
      <c r="F27" s="15"/>
      <c r="G27" s="15"/>
      <c r="H27" s="15"/>
    </row>
    <row r="28" spans="1:8" ht="39.6" x14ac:dyDescent="0.25">
      <c r="A28" s="12">
        <v>12</v>
      </c>
      <c r="B28" s="13" t="s">
        <v>95</v>
      </c>
      <c r="C28" s="13" t="s">
        <v>189</v>
      </c>
      <c r="D28" s="13" t="s">
        <v>190</v>
      </c>
      <c r="E28" s="13" t="s">
        <v>191</v>
      </c>
      <c r="F28" s="13" t="s">
        <v>323</v>
      </c>
      <c r="G28" s="17"/>
      <c r="H28" s="18"/>
    </row>
    <row r="29" spans="1:8" ht="39.6" x14ac:dyDescent="0.25">
      <c r="A29" s="12">
        <v>13</v>
      </c>
      <c r="B29" s="13" t="s">
        <v>95</v>
      </c>
      <c r="C29" s="13" t="s">
        <v>192</v>
      </c>
      <c r="D29" s="13" t="s">
        <v>193</v>
      </c>
      <c r="E29" s="13" t="s">
        <v>194</v>
      </c>
      <c r="F29" s="13" t="s">
        <v>324</v>
      </c>
      <c r="G29" s="17"/>
      <c r="H29" s="18"/>
    </row>
    <row r="30" spans="1:8" ht="39.6" x14ac:dyDescent="0.25">
      <c r="A30" s="12">
        <v>14</v>
      </c>
      <c r="B30" s="13" t="s">
        <v>95</v>
      </c>
      <c r="C30" s="13" t="s">
        <v>195</v>
      </c>
      <c r="D30" s="13" t="s">
        <v>196</v>
      </c>
      <c r="E30" s="13" t="s">
        <v>197</v>
      </c>
      <c r="F30" s="13" t="s">
        <v>325</v>
      </c>
      <c r="G30" s="17"/>
      <c r="H30" s="18"/>
    </row>
    <row r="31" spans="1:8" ht="39.6" x14ac:dyDescent="0.25">
      <c r="A31" s="12">
        <v>15</v>
      </c>
      <c r="B31" s="13" t="s">
        <v>95</v>
      </c>
      <c r="C31" s="13" t="s">
        <v>198</v>
      </c>
      <c r="D31" s="13" t="s">
        <v>199</v>
      </c>
      <c r="E31" s="13" t="s">
        <v>200</v>
      </c>
      <c r="F31" s="13" t="s">
        <v>326</v>
      </c>
      <c r="G31" s="17"/>
      <c r="H31" s="18"/>
    </row>
    <row r="32" spans="1:8" ht="39.6" x14ac:dyDescent="0.25">
      <c r="A32" s="12">
        <v>16</v>
      </c>
      <c r="B32" s="13" t="s">
        <v>95</v>
      </c>
      <c r="C32" s="13" t="s">
        <v>201</v>
      </c>
      <c r="D32" s="13" t="s">
        <v>202</v>
      </c>
      <c r="E32" s="13" t="s">
        <v>203</v>
      </c>
      <c r="F32" s="13" t="s">
        <v>327</v>
      </c>
      <c r="G32" s="17"/>
      <c r="H32" s="18"/>
    </row>
  </sheetData>
  <dataValidations count="1">
    <dataValidation type="whole" allowBlank="1" showErrorMessage="1" errorTitle="Điểm không hợp lệ" error="Nhập số nguyên từ 1 đến 5" sqref="G15:G19 G21:G26 G28:G32" xr:uid="{7B0B3AC9-1C0F-4304-8ED8-838F30AE7778}">
      <formula1>1</formula1>
      <formula2>5</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99A724B-260A-4200-96F8-A102F9B8879B}">
          <x14:formula1>
            <xm:f>data!$I$13:$I$19</xm:f>
          </x14:formula1>
          <xm:sqref>A1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16250-2213-423A-BE74-511BDEC36D0E}">
  <dimension ref="A1:H29"/>
  <sheetViews>
    <sheetView showGridLines="0" topLeftCell="A18" zoomScale="85" zoomScaleNormal="85" workbookViewId="0">
      <selection activeCell="F12" sqref="A1:XFD1048576"/>
    </sheetView>
  </sheetViews>
  <sheetFormatPr defaultRowHeight="13.2" x14ac:dyDescent="0.25"/>
  <cols>
    <col min="1" max="1" width="47.33203125" bestFit="1" customWidth="1"/>
    <col min="2" max="2" width="23.88671875" bestFit="1" customWidth="1"/>
    <col min="3" max="4" width="255.77734375" bestFit="1" customWidth="1"/>
    <col min="5" max="5" width="75.77734375" bestFit="1" customWidth="1"/>
    <col min="6" max="6" width="58" bestFit="1" customWidth="1"/>
    <col min="7" max="7" width="8.44140625" bestFit="1" customWidth="1"/>
  </cols>
  <sheetData>
    <row r="1" spans="1:8" x14ac:dyDescent="0.25">
      <c r="A1" s="9" t="s">
        <v>44</v>
      </c>
    </row>
    <row r="3" spans="1:8" ht="26.4" x14ac:dyDescent="0.25">
      <c r="A3" s="10" t="s">
        <v>1</v>
      </c>
      <c r="B3" s="10" t="s">
        <v>2</v>
      </c>
      <c r="C3" s="11" t="s">
        <v>10</v>
      </c>
      <c r="D3" s="11" t="s">
        <v>14</v>
      </c>
    </row>
    <row r="4" spans="1:8" x14ac:dyDescent="0.25">
      <c r="A4" t="str" cm="1">
        <f t="array" ref="A4:D5">_xlfn._xlws.FILTER(_xlfn.CHOOSECOLS(data!$A$12:$O$19,2,9,11,13),data!$I$12:$I$19=A1,"Không có ứng viên")</f>
        <v>Trương Gia Đồng</v>
      </c>
      <c r="B4" t="str">
        <v>LogFin - Finance Associate</v>
      </c>
      <c r="C4" t="str">
        <v>Khả năng quản lý chuỗi cung ứng cũng như công việc liên quan đến máy móc. Vì mình thấy ở các triển lãm của SEE có trưng bày những máy móc rất hay và hợp với sở thích cũng như chuyên ngành của mình</v>
      </c>
      <c r="D4" t="str">
        <v>Khi mình làm Project liên quan đến quy trình trong nhà máy, mình cũng đã phải tự chạy đi mua các phụ kiện, vật dụng. Mình gọi điện cũng như đi tới tận xưởng để hỏi mua. Công việc rất mệt và đôi khi mình phải làm những công việc khiến mình phải bước ra khỏi comfort zone nhưng mà mình cảm thấy tất cả đều xứng đáng</v>
      </c>
    </row>
    <row r="5" spans="1:8" x14ac:dyDescent="0.25">
      <c r="A5" t="str">
        <v>Phạm Trọng Quý</v>
      </c>
      <c r="B5" t="str">
        <v>LogFin - Finance Associate</v>
      </c>
      <c r="C5" t="str">
        <v>Trước tiên, mình vào câu lạc bộ vì muốn học hỏi những ý tưởng độc đáo, vì mình quan tâm đến bền vững xanh và muốn học hỏi thêm về nó. Thông qua đó mình cũng muốn học cách làm việc nhóm một cách chuyên nghiệp, có hệ thống nhưng không kém phần vui vẻ từ một câu lạc bộ mới thành lập, vì mình tin đây là lúc mà sẽ cần làm nhiều việc nhất, thông qua đó có thể học được nhiều điều hay từ mọi người xung quanh và quá trình. Cuối cùng mình muốn học được thêm kiến thức và kinh nghiệm khi ứng tuyển vào vị trí Logfin, nơi mình có thể lần đầu tiên đảm nhận một vai trò thực tế ngoài đời, giúp mình có thêm kinh nghiệm và kỹ năng, góp phần tự tin cho định hướng sau này của mình.</v>
      </c>
      <c r="D5" t="str">
        <v>Chưa từng nhưng mình đang học. Mục tiêu của mình không phải là đảm nhận phần chính về tài chính của câu lạc bộ. Mình muốn là người tổng hợp, ghi báo cáo, hay trình bày các bảng dữ liệu về tình hình tài chính, bất cứ thứ gì mình có thể trực quan hóa lên được. Ngoài ra mình cũng có thể giúp câu lạc bộ về mặt công nghệ, nếu trong khả năng mình sẽ giúp.</v>
      </c>
    </row>
    <row r="9" spans="1:8" x14ac:dyDescent="0.25">
      <c r="A9" s="8"/>
    </row>
    <row r="10" spans="1:8" ht="27.6" x14ac:dyDescent="0.25">
      <c r="A10" s="16" t="s">
        <v>146</v>
      </c>
      <c r="B10" s="16" t="s">
        <v>147</v>
      </c>
      <c r="C10" s="16" t="s">
        <v>148</v>
      </c>
      <c r="D10" s="16" t="s">
        <v>149</v>
      </c>
      <c r="E10" s="16" t="s">
        <v>150</v>
      </c>
      <c r="F10" s="16" t="s">
        <v>295</v>
      </c>
      <c r="G10" s="16" t="s">
        <v>151</v>
      </c>
      <c r="H10" s="16" t="s">
        <v>152</v>
      </c>
    </row>
    <row r="11" spans="1:8" ht="13.8" x14ac:dyDescent="0.25">
      <c r="A11" s="14" t="s">
        <v>153</v>
      </c>
      <c r="B11" s="15"/>
      <c r="C11" s="15"/>
      <c r="D11" s="15"/>
      <c r="E11" s="15"/>
      <c r="F11" s="15"/>
      <c r="G11" s="15"/>
      <c r="H11" s="15"/>
    </row>
    <row r="12" spans="1:8" ht="39.6" x14ac:dyDescent="0.25">
      <c r="A12" s="12">
        <v>1</v>
      </c>
      <c r="B12" s="13" t="s">
        <v>95</v>
      </c>
      <c r="C12" s="13" t="s">
        <v>204</v>
      </c>
      <c r="D12" s="13" t="s">
        <v>157</v>
      </c>
      <c r="E12" s="13" t="s">
        <v>205</v>
      </c>
      <c r="F12" s="13" t="s">
        <v>328</v>
      </c>
      <c r="G12" s="17"/>
      <c r="H12" s="18"/>
    </row>
    <row r="13" spans="1:8" ht="39.6" x14ac:dyDescent="0.25">
      <c r="A13" s="12">
        <v>2</v>
      </c>
      <c r="B13" s="13" t="s">
        <v>95</v>
      </c>
      <c r="C13" s="13" t="s">
        <v>206</v>
      </c>
      <c r="D13" s="13" t="s">
        <v>207</v>
      </c>
      <c r="E13" s="13" t="s">
        <v>208</v>
      </c>
      <c r="F13" s="13" t="s">
        <v>329</v>
      </c>
      <c r="G13" s="17"/>
      <c r="H13" s="18"/>
    </row>
    <row r="14" spans="1:8" ht="39.6" x14ac:dyDescent="0.25">
      <c r="A14" s="12">
        <v>3</v>
      </c>
      <c r="B14" s="13" t="s">
        <v>95</v>
      </c>
      <c r="C14" s="13" t="s">
        <v>209</v>
      </c>
      <c r="D14" s="13" t="s">
        <v>163</v>
      </c>
      <c r="E14" s="13" t="s">
        <v>210</v>
      </c>
      <c r="F14" s="13" t="s">
        <v>330</v>
      </c>
      <c r="G14" s="17"/>
      <c r="H14" s="18"/>
    </row>
    <row r="15" spans="1:8" ht="39.6" x14ac:dyDescent="0.25">
      <c r="A15" s="12">
        <v>4</v>
      </c>
      <c r="B15" s="13" t="s">
        <v>39</v>
      </c>
      <c r="C15" s="13" t="s">
        <v>211</v>
      </c>
      <c r="D15" s="13" t="s">
        <v>212</v>
      </c>
      <c r="E15" s="13" t="s">
        <v>213</v>
      </c>
      <c r="F15" s="13" t="s">
        <v>331</v>
      </c>
      <c r="G15" s="17"/>
      <c r="H15" s="18"/>
    </row>
    <row r="16" spans="1:8" ht="39.6" x14ac:dyDescent="0.25">
      <c r="A16" s="12">
        <v>5</v>
      </c>
      <c r="B16" s="13" t="s">
        <v>61</v>
      </c>
      <c r="C16" s="13" t="s">
        <v>214</v>
      </c>
      <c r="D16" s="13" t="s">
        <v>215</v>
      </c>
      <c r="E16" s="13" t="s">
        <v>216</v>
      </c>
      <c r="F16" s="13" t="s">
        <v>332</v>
      </c>
      <c r="G16" s="17"/>
      <c r="H16" s="18"/>
    </row>
    <row r="17" spans="1:8" ht="13.8" x14ac:dyDescent="0.25">
      <c r="A17" s="14" t="s">
        <v>111</v>
      </c>
      <c r="B17" s="15"/>
      <c r="C17" s="15"/>
      <c r="D17" s="15"/>
      <c r="E17" s="15"/>
      <c r="F17" s="15"/>
      <c r="G17" s="15"/>
      <c r="H17" s="15"/>
    </row>
    <row r="18" spans="1:8" ht="39.6" x14ac:dyDescent="0.25">
      <c r="A18" s="12">
        <v>6</v>
      </c>
      <c r="B18" s="13" t="s">
        <v>95</v>
      </c>
      <c r="C18" s="13" t="s">
        <v>217</v>
      </c>
      <c r="D18" s="13" t="s">
        <v>218</v>
      </c>
      <c r="E18" s="13" t="s">
        <v>219</v>
      </c>
      <c r="F18" s="13" t="s">
        <v>333</v>
      </c>
      <c r="G18" s="17"/>
      <c r="H18" s="18"/>
    </row>
    <row r="19" spans="1:8" ht="39.6" x14ac:dyDescent="0.25">
      <c r="A19" s="12">
        <v>7</v>
      </c>
      <c r="B19" s="13" t="s">
        <v>95</v>
      </c>
      <c r="C19" s="13" t="s">
        <v>220</v>
      </c>
      <c r="D19" s="13" t="s">
        <v>172</v>
      </c>
      <c r="E19" s="13" t="s">
        <v>221</v>
      </c>
      <c r="F19" s="13" t="s">
        <v>334</v>
      </c>
      <c r="G19" s="17"/>
      <c r="H19" s="18"/>
    </row>
    <row r="20" spans="1:8" ht="39.6" x14ac:dyDescent="0.25">
      <c r="A20" s="12">
        <v>8</v>
      </c>
      <c r="B20" s="13" t="s">
        <v>95</v>
      </c>
      <c r="C20" s="13" t="s">
        <v>222</v>
      </c>
      <c r="D20" s="13" t="s">
        <v>223</v>
      </c>
      <c r="E20" s="13" t="s">
        <v>224</v>
      </c>
      <c r="F20" s="13" t="s">
        <v>335</v>
      </c>
      <c r="G20" s="17"/>
      <c r="H20" s="18"/>
    </row>
    <row r="21" spans="1:8" ht="39.6" x14ac:dyDescent="0.25">
      <c r="A21" s="12">
        <v>9</v>
      </c>
      <c r="B21" s="13" t="s">
        <v>95</v>
      </c>
      <c r="C21" s="13" t="s">
        <v>225</v>
      </c>
      <c r="D21" s="13" t="s">
        <v>226</v>
      </c>
      <c r="E21" s="13" t="s">
        <v>227</v>
      </c>
      <c r="F21" s="13" t="s">
        <v>336</v>
      </c>
      <c r="G21" s="17"/>
      <c r="H21" s="18"/>
    </row>
    <row r="22" spans="1:8" ht="39.6" x14ac:dyDescent="0.25">
      <c r="A22" s="12">
        <v>10</v>
      </c>
      <c r="B22" s="13" t="s">
        <v>95</v>
      </c>
      <c r="C22" s="13" t="s">
        <v>228</v>
      </c>
      <c r="D22" s="13" t="s">
        <v>229</v>
      </c>
      <c r="E22" s="13" t="s">
        <v>230</v>
      </c>
      <c r="F22" s="13" t="s">
        <v>337</v>
      </c>
      <c r="G22" s="17"/>
      <c r="H22" s="18"/>
    </row>
    <row r="23" spans="1:8" ht="39.6" x14ac:dyDescent="0.25">
      <c r="A23" s="12">
        <v>11</v>
      </c>
      <c r="B23" s="13" t="s">
        <v>95</v>
      </c>
      <c r="C23" s="13" t="s">
        <v>231</v>
      </c>
      <c r="D23" s="13" t="s">
        <v>232</v>
      </c>
      <c r="E23" s="13" t="s">
        <v>233</v>
      </c>
      <c r="F23" s="13" t="s">
        <v>338</v>
      </c>
      <c r="G23" s="17"/>
      <c r="H23" s="18"/>
    </row>
    <row r="24" spans="1:8" ht="13.8" x14ac:dyDescent="0.25">
      <c r="A24" s="14" t="s">
        <v>130</v>
      </c>
      <c r="B24" s="15"/>
      <c r="C24" s="15"/>
      <c r="D24" s="15"/>
      <c r="E24" s="15"/>
      <c r="F24" s="15"/>
      <c r="G24" s="15"/>
      <c r="H24" s="15"/>
    </row>
    <row r="25" spans="1:8" ht="39.6" x14ac:dyDescent="0.25">
      <c r="A25" s="12">
        <v>12</v>
      </c>
      <c r="B25" s="13" t="s">
        <v>95</v>
      </c>
      <c r="C25" s="13" t="s">
        <v>234</v>
      </c>
      <c r="D25" s="13" t="s">
        <v>235</v>
      </c>
      <c r="E25" s="13" t="s">
        <v>236</v>
      </c>
      <c r="F25" s="13" t="s">
        <v>339</v>
      </c>
      <c r="G25" s="17"/>
      <c r="H25" s="18"/>
    </row>
    <row r="26" spans="1:8" ht="39.6" x14ac:dyDescent="0.25">
      <c r="A26" s="12">
        <v>13</v>
      </c>
      <c r="B26" s="13" t="s">
        <v>95</v>
      </c>
      <c r="C26" s="13" t="s">
        <v>237</v>
      </c>
      <c r="D26" s="13" t="s">
        <v>238</v>
      </c>
      <c r="E26" s="13" t="s">
        <v>239</v>
      </c>
      <c r="F26" s="13" t="s">
        <v>340</v>
      </c>
      <c r="G26" s="17"/>
      <c r="H26" s="18"/>
    </row>
    <row r="27" spans="1:8" ht="39.6" x14ac:dyDescent="0.25">
      <c r="A27" s="12">
        <v>14</v>
      </c>
      <c r="B27" s="13" t="s">
        <v>95</v>
      </c>
      <c r="C27" s="13" t="s">
        <v>240</v>
      </c>
      <c r="D27" s="13" t="s">
        <v>241</v>
      </c>
      <c r="E27" s="13" t="s">
        <v>242</v>
      </c>
      <c r="F27" s="13" t="s">
        <v>341</v>
      </c>
      <c r="G27" s="17"/>
      <c r="H27" s="18"/>
    </row>
    <row r="28" spans="1:8" ht="39.6" x14ac:dyDescent="0.25">
      <c r="A28" s="12">
        <v>15</v>
      </c>
      <c r="B28" s="13" t="s">
        <v>95</v>
      </c>
      <c r="C28" s="13" t="s">
        <v>243</v>
      </c>
      <c r="D28" s="13" t="s">
        <v>244</v>
      </c>
      <c r="E28" s="13" t="s">
        <v>245</v>
      </c>
      <c r="F28" s="13" t="s">
        <v>342</v>
      </c>
      <c r="G28" s="17"/>
      <c r="H28" s="18"/>
    </row>
    <row r="29" spans="1:8" ht="39.6" x14ac:dyDescent="0.25">
      <c r="A29" s="12">
        <v>16</v>
      </c>
      <c r="B29" s="13" t="s">
        <v>95</v>
      </c>
      <c r="C29" s="13" t="s">
        <v>246</v>
      </c>
      <c r="D29" s="13" t="s">
        <v>247</v>
      </c>
      <c r="E29" s="13" t="s">
        <v>248</v>
      </c>
      <c r="F29" s="13" t="s">
        <v>343</v>
      </c>
      <c r="G29" s="17"/>
      <c r="H29" s="18"/>
    </row>
  </sheetData>
  <dataValidations count="1">
    <dataValidation type="whole" allowBlank="1" showErrorMessage="1" errorTitle="Điểm không hợp lệ" error="Nhập số nguyên từ 1 đến 5" sqref="G12:G16 G18:G23 G25:G29" xr:uid="{B4EE8017-E0FC-4266-BAAF-E9E24F2D5ED9}">
      <formula1>1</formula1>
      <formula2>5</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A40F3F7-A671-403D-AF27-FE0ECDF3A02A}">
          <x14:formula1>
            <xm:f>data!$I$13:$I$19</xm:f>
          </x14:formula1>
          <xm:sqref>A1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3A18A-B2F8-420F-9C98-DD8C000505BC}">
  <dimension ref="A1:H28"/>
  <sheetViews>
    <sheetView showGridLines="0" tabSelected="1" topLeftCell="A20" workbookViewId="0">
      <selection activeCell="C26" sqref="C26"/>
    </sheetView>
  </sheetViews>
  <sheetFormatPr defaultRowHeight="13.2" x14ac:dyDescent="0.25"/>
  <cols>
    <col min="1" max="1" width="45.5546875" bestFit="1" customWidth="1"/>
    <col min="2" max="2" width="32.77734375" bestFit="1" customWidth="1"/>
    <col min="3" max="3" width="89.109375" bestFit="1" customWidth="1"/>
    <col min="4" max="4" width="52" bestFit="1" customWidth="1"/>
    <col min="5" max="5" width="68.33203125" bestFit="1" customWidth="1"/>
    <col min="6" max="6" width="47.44140625" bestFit="1" customWidth="1"/>
    <col min="7" max="8" width="12.88671875" bestFit="1" customWidth="1"/>
  </cols>
  <sheetData>
    <row r="1" spans="1:8" x14ac:dyDescent="0.25">
      <c r="A1" s="9" t="s">
        <v>54</v>
      </c>
    </row>
    <row r="3" spans="1:8" ht="26.4" x14ac:dyDescent="0.25">
      <c r="A3" s="10" t="s">
        <v>1</v>
      </c>
      <c r="B3" s="10" t="s">
        <v>2</v>
      </c>
      <c r="C3" s="11" t="s">
        <v>10</v>
      </c>
      <c r="D3" s="11" t="s">
        <v>14</v>
      </c>
    </row>
    <row r="4" spans="1:8" x14ac:dyDescent="0.25">
      <c r="A4" t="str" cm="1">
        <f t="array" ref="A4:D4">_xlfn._xlws.FILTER(_xlfn.CHOOSECOLS(data!$A$12:$O$19,2,9,11,13),data!$I$12:$I$19=A1,"Không có ứng viên")</f>
        <v>Nguyễn Thị Ngọc Thùy</v>
      </c>
      <c r="B4" t="str">
        <v>Human Resource - Executive Assistant</v>
      </c>
      <c r="C4" t="str">
        <v>Cách SEE vận hành, cũng quá trình lên ý tưởng và hoàn thiện các khía cạnh khác của bản thân</v>
      </c>
      <c r="D4" t="str">
        <v>Đã từng làm thư ký chi đoàn khi học THPT</v>
      </c>
    </row>
    <row r="9" spans="1:8" ht="13.8" x14ac:dyDescent="0.25">
      <c r="A9" s="16" t="s">
        <v>146</v>
      </c>
      <c r="B9" s="16" t="s">
        <v>147</v>
      </c>
      <c r="C9" s="16" t="s">
        <v>148</v>
      </c>
      <c r="D9" s="16" t="s">
        <v>149</v>
      </c>
      <c r="E9" s="16" t="s">
        <v>150</v>
      </c>
      <c r="F9" s="16" t="s">
        <v>295</v>
      </c>
      <c r="G9" s="16" t="s">
        <v>151</v>
      </c>
      <c r="H9" s="16" t="s">
        <v>152</v>
      </c>
    </row>
    <row r="10" spans="1:8" ht="13.8" x14ac:dyDescent="0.25">
      <c r="A10" s="14" t="s">
        <v>153</v>
      </c>
      <c r="B10" s="15"/>
      <c r="C10" s="15"/>
      <c r="D10" s="15"/>
      <c r="E10" s="15"/>
      <c r="F10" s="15"/>
      <c r="G10" s="15"/>
      <c r="H10" s="15"/>
    </row>
    <row r="11" spans="1:8" ht="39.6" x14ac:dyDescent="0.25">
      <c r="A11" s="12">
        <v>1</v>
      </c>
      <c r="B11" s="13" t="s">
        <v>95</v>
      </c>
      <c r="C11" s="13" t="s">
        <v>249</v>
      </c>
      <c r="D11" s="13" t="s">
        <v>157</v>
      </c>
      <c r="E11" s="13" t="s">
        <v>250</v>
      </c>
      <c r="F11" s="13" t="s">
        <v>344</v>
      </c>
      <c r="G11" s="17"/>
      <c r="H11" s="18"/>
    </row>
    <row r="12" spans="1:8" ht="39.6" x14ac:dyDescent="0.25">
      <c r="A12" s="12">
        <v>2</v>
      </c>
      <c r="B12" s="13" t="s">
        <v>95</v>
      </c>
      <c r="C12" s="13" t="s">
        <v>251</v>
      </c>
      <c r="D12" s="13" t="s">
        <v>252</v>
      </c>
      <c r="E12" s="13" t="s">
        <v>253</v>
      </c>
      <c r="F12" s="13" t="s">
        <v>345</v>
      </c>
      <c r="G12" s="17"/>
      <c r="H12" s="18"/>
    </row>
    <row r="13" spans="1:8" ht="39.6" x14ac:dyDescent="0.25">
      <c r="A13" s="12">
        <v>3</v>
      </c>
      <c r="B13" s="13" t="s">
        <v>95</v>
      </c>
      <c r="C13" s="13" t="s">
        <v>254</v>
      </c>
      <c r="D13" s="13" t="s">
        <v>163</v>
      </c>
      <c r="E13" s="13" t="s">
        <v>255</v>
      </c>
      <c r="F13" s="13" t="s">
        <v>346</v>
      </c>
      <c r="G13" s="17"/>
      <c r="H13" s="18"/>
    </row>
    <row r="14" spans="1:8" ht="39.6" x14ac:dyDescent="0.25">
      <c r="A14" s="12">
        <v>4</v>
      </c>
      <c r="B14" s="13" t="s">
        <v>49</v>
      </c>
      <c r="C14" s="13" t="s">
        <v>256</v>
      </c>
      <c r="D14" s="13" t="s">
        <v>257</v>
      </c>
      <c r="E14" s="13" t="s">
        <v>258</v>
      </c>
      <c r="F14" s="13" t="s">
        <v>347</v>
      </c>
      <c r="G14" s="17"/>
      <c r="H14" s="18"/>
    </row>
    <row r="15" spans="1:8" ht="39.6" x14ac:dyDescent="0.25">
      <c r="A15" s="12">
        <v>5</v>
      </c>
      <c r="B15" s="13" t="s">
        <v>49</v>
      </c>
      <c r="C15" s="13" t="s">
        <v>259</v>
      </c>
      <c r="D15" s="13" t="s">
        <v>260</v>
      </c>
      <c r="E15" s="13" t="s">
        <v>261</v>
      </c>
      <c r="F15" s="13" t="s">
        <v>348</v>
      </c>
      <c r="G15" s="17"/>
      <c r="H15" s="18"/>
    </row>
    <row r="16" spans="1:8" ht="13.8" x14ac:dyDescent="0.25">
      <c r="A16" s="14" t="s">
        <v>111</v>
      </c>
      <c r="B16" s="15"/>
      <c r="C16" s="15"/>
      <c r="D16" s="15"/>
      <c r="E16" s="15"/>
      <c r="F16" s="15"/>
      <c r="G16" s="15"/>
      <c r="H16" s="15"/>
    </row>
    <row r="17" spans="1:8" ht="39.6" x14ac:dyDescent="0.25">
      <c r="A17" s="12">
        <v>6</v>
      </c>
      <c r="B17" s="13" t="s">
        <v>95</v>
      </c>
      <c r="C17" s="13" t="s">
        <v>262</v>
      </c>
      <c r="D17" s="13" t="s">
        <v>263</v>
      </c>
      <c r="E17" s="13" t="s">
        <v>264</v>
      </c>
      <c r="F17" s="13" t="s">
        <v>349</v>
      </c>
      <c r="G17" s="17"/>
      <c r="H17" s="18"/>
    </row>
    <row r="18" spans="1:8" ht="39.6" x14ac:dyDescent="0.25">
      <c r="A18" s="12">
        <v>7</v>
      </c>
      <c r="B18" s="13" t="s">
        <v>95</v>
      </c>
      <c r="C18" s="13" t="s">
        <v>265</v>
      </c>
      <c r="D18" s="13" t="s">
        <v>266</v>
      </c>
      <c r="E18" s="13" t="s">
        <v>267</v>
      </c>
      <c r="F18" s="13" t="s">
        <v>350</v>
      </c>
      <c r="G18" s="17"/>
      <c r="H18" s="18"/>
    </row>
    <row r="19" spans="1:8" ht="39.6" x14ac:dyDescent="0.25">
      <c r="A19" s="12">
        <v>8</v>
      </c>
      <c r="B19" s="13" t="s">
        <v>95</v>
      </c>
      <c r="C19" s="13" t="s">
        <v>268</v>
      </c>
      <c r="D19" s="13" t="s">
        <v>269</v>
      </c>
      <c r="E19" s="13" t="s">
        <v>270</v>
      </c>
      <c r="F19" s="13" t="s">
        <v>351</v>
      </c>
      <c r="G19" s="17"/>
      <c r="H19" s="18"/>
    </row>
    <row r="20" spans="1:8" ht="39.6" x14ac:dyDescent="0.25">
      <c r="A20" s="12">
        <v>9</v>
      </c>
      <c r="B20" s="13" t="s">
        <v>95</v>
      </c>
      <c r="C20" s="13" t="s">
        <v>271</v>
      </c>
      <c r="D20" s="13" t="s">
        <v>272</v>
      </c>
      <c r="E20" s="13" t="s">
        <v>273</v>
      </c>
      <c r="F20" s="13" t="s">
        <v>352</v>
      </c>
      <c r="G20" s="17"/>
      <c r="H20" s="18"/>
    </row>
    <row r="21" spans="1:8" ht="39.6" x14ac:dyDescent="0.25">
      <c r="A21" s="12">
        <v>10</v>
      </c>
      <c r="B21" s="13" t="s">
        <v>95</v>
      </c>
      <c r="C21" s="13" t="s">
        <v>274</v>
      </c>
      <c r="D21" s="13" t="s">
        <v>275</v>
      </c>
      <c r="E21" s="13" t="s">
        <v>276</v>
      </c>
      <c r="F21" s="13" t="s">
        <v>353</v>
      </c>
      <c r="G21" s="17"/>
      <c r="H21" s="18"/>
    </row>
    <row r="22" spans="1:8" ht="39.6" x14ac:dyDescent="0.25">
      <c r="A22" s="12">
        <v>11</v>
      </c>
      <c r="B22" s="13" t="s">
        <v>95</v>
      </c>
      <c r="C22" s="13" t="s">
        <v>277</v>
      </c>
      <c r="D22" s="13" t="s">
        <v>278</v>
      </c>
      <c r="E22" s="13" t="s">
        <v>279</v>
      </c>
      <c r="F22" s="13" t="s">
        <v>354</v>
      </c>
      <c r="G22" s="17"/>
      <c r="H22" s="18"/>
    </row>
    <row r="23" spans="1:8" ht="13.8" x14ac:dyDescent="0.25">
      <c r="A23" s="14" t="s">
        <v>130</v>
      </c>
      <c r="B23" s="15"/>
      <c r="C23" s="15"/>
      <c r="D23" s="15"/>
      <c r="E23" s="15"/>
      <c r="F23" s="15"/>
      <c r="G23" s="15"/>
      <c r="H23" s="15"/>
    </row>
    <row r="24" spans="1:8" ht="39.6" x14ac:dyDescent="0.25">
      <c r="A24" s="12">
        <v>12</v>
      </c>
      <c r="B24" s="13" t="s">
        <v>95</v>
      </c>
      <c r="C24" s="13" t="s">
        <v>280</v>
      </c>
      <c r="D24" s="13" t="s">
        <v>281</v>
      </c>
      <c r="E24" s="13" t="s">
        <v>282</v>
      </c>
      <c r="F24" s="13" t="s">
        <v>355</v>
      </c>
      <c r="G24" s="17"/>
      <c r="H24" s="18"/>
    </row>
    <row r="25" spans="1:8" ht="39.6" x14ac:dyDescent="0.25">
      <c r="A25" s="12">
        <v>13</v>
      </c>
      <c r="B25" s="13" t="s">
        <v>95</v>
      </c>
      <c r="C25" s="13" t="s">
        <v>283</v>
      </c>
      <c r="D25" s="13" t="s">
        <v>284</v>
      </c>
      <c r="E25" s="13" t="s">
        <v>285</v>
      </c>
      <c r="F25" s="13" t="s">
        <v>356</v>
      </c>
      <c r="G25" s="17"/>
      <c r="H25" s="18"/>
    </row>
    <row r="26" spans="1:8" ht="39.6" x14ac:dyDescent="0.25">
      <c r="A26" s="12">
        <v>14</v>
      </c>
      <c r="B26" s="13" t="s">
        <v>95</v>
      </c>
      <c r="C26" s="13" t="s">
        <v>286</v>
      </c>
      <c r="D26" s="13" t="s">
        <v>287</v>
      </c>
      <c r="E26" s="13" t="s">
        <v>288</v>
      </c>
      <c r="F26" s="13" t="s">
        <v>357</v>
      </c>
      <c r="G26" s="17"/>
      <c r="H26" s="18"/>
    </row>
    <row r="27" spans="1:8" ht="39.6" x14ac:dyDescent="0.25">
      <c r="A27" s="12">
        <v>15</v>
      </c>
      <c r="B27" s="13" t="s">
        <v>95</v>
      </c>
      <c r="C27" s="13" t="s">
        <v>289</v>
      </c>
      <c r="D27" s="13" t="s">
        <v>290</v>
      </c>
      <c r="E27" s="13" t="s">
        <v>291</v>
      </c>
      <c r="F27" s="13" t="s">
        <v>358</v>
      </c>
      <c r="G27" s="17"/>
      <c r="H27" s="18"/>
    </row>
    <row r="28" spans="1:8" ht="39.6" x14ac:dyDescent="0.25">
      <c r="A28" s="12">
        <v>16</v>
      </c>
      <c r="B28" s="13" t="s">
        <v>95</v>
      </c>
      <c r="C28" s="13" t="s">
        <v>292</v>
      </c>
      <c r="D28" s="13" t="s">
        <v>293</v>
      </c>
      <c r="E28" s="13" t="s">
        <v>294</v>
      </c>
      <c r="F28" s="13" t="s">
        <v>359</v>
      </c>
      <c r="G28" s="17"/>
      <c r="H28" s="18"/>
    </row>
  </sheetData>
  <autoFilter ref="A9:H9" xr:uid="{2FF3A18A-B2F8-420F-9C98-DD8C000505BC}"/>
  <dataValidations count="1">
    <dataValidation type="whole" allowBlank="1" showErrorMessage="1" errorTitle="Điểm không hợp lệ" error="Nhập số nguyên từ 1 đến 5" sqref="G11:G15 G17:G22 G24:G28" xr:uid="{C80B6FA3-D8C9-4217-9894-374797AC825B}">
      <formula1>1</formula1>
      <formula2>5</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DE4BFE1-4C7E-405F-A491-D00B687F324C}">
          <x14:formula1>
            <xm:f>data!$I$13:$I$19</xm:f>
          </x14:formula1>
          <xm:sqref>A1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Program event </vt:lpstr>
      <vt:lpstr>Media - Graphic Designer</vt:lpstr>
      <vt:lpstr>LogFin - Finance Associate</vt:lpstr>
      <vt:lpstr>Human Resource - Executive Assi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Minh</cp:lastModifiedBy>
  <dcterms:created xsi:type="dcterms:W3CDTF">2026-10-10T02:24:37Z</dcterms:created>
  <dcterms:modified xsi:type="dcterms:W3CDTF">2026-10-10T02:51:04Z</dcterms:modified>
</cp:coreProperties>
</file>