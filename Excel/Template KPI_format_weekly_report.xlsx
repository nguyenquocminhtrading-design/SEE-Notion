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1094EE4-467E-485D-ADE8-F675B5E9D10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ướng dẫn" sheetId="1" r:id="rId1"/>
    <sheet name="Marketing Content - Tuần" sheetId="2" r:id="rId2"/>
    <sheet name="Marketing Content - Tháng" sheetId="3" r:id="rId3"/>
    <sheet name="Tài chính Thu mua - Tuần" sheetId="4" r:id="rId4"/>
    <sheet name="Tài chính Thu mua - Tháng" sheetId="5" r:id="rId5"/>
    <sheet name="Program Event - Tuần" sheetId="6" r:id="rId6"/>
    <sheet name="Program Event - Tháng" sheetId="7" r:id="rId7"/>
    <sheet name="Nhân sự - Tuần" sheetId="8" r:id="rId8"/>
    <sheet name="Nhân sự - Tháng" sheetId="9" r:id="rId9"/>
    <sheet name="Danh mục" sheetId="10" r:id="rId10"/>
  </sheets>
  <definedNames>
    <definedName name="_xlnm.Print_Titles" localSheetId="1">'Marketing Content - Tuần'!$1:$2</definedName>
    <definedName name="_xlnm.Print_Titles" localSheetId="2">'Marketing Content - Tháng'!$1:$2</definedName>
    <definedName name="_xlnm.Print_Titles" localSheetId="7">'Nhân sự - Tuần'!$1:$2</definedName>
    <definedName name="_xlnm.Print_Titles" localSheetId="8">'Nhân sự - Tháng'!$1:$2</definedName>
    <definedName name="_xlnm.Print_Titles" localSheetId="5">'Program Event - Tuần'!$1:$2</definedName>
    <definedName name="_xlnm.Print_Titles" localSheetId="6">'Program Event - Tháng'!$1:$2</definedName>
    <definedName name="_xlnm.Print_Titles" localSheetId="3">'Tài chính Thu mua - Tuần'!$1:$2</definedName>
    <definedName name="_xlnm.Print_Titles" localSheetId="4">'Tài chính Thu mua - Tháng'!$1:$2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4" i="9" l="1"/>
  <c r="H84" i="9" s="1"/>
  <c r="G48" i="9"/>
  <c r="G47" i="9"/>
  <c r="G46" i="9"/>
  <c r="G45" i="9"/>
  <c r="G44" i="9"/>
  <c r="G43" i="9"/>
  <c r="G42" i="9"/>
  <c r="G41" i="9"/>
  <c r="G40" i="9"/>
  <c r="G39" i="9"/>
  <c r="G38" i="9"/>
  <c r="G37" i="9"/>
  <c r="E31" i="9"/>
  <c r="G11" i="9" s="1"/>
  <c r="C31" i="9"/>
  <c r="F31" i="9" s="1"/>
  <c r="E30" i="9"/>
  <c r="E29" i="9"/>
  <c r="E28" i="9"/>
  <c r="E27" i="9"/>
  <c r="E26" i="9"/>
  <c r="J22" i="9"/>
  <c r="G22" i="9"/>
  <c r="H22" i="9" s="1"/>
  <c r="J21" i="9"/>
  <c r="G21" i="9"/>
  <c r="H21" i="9" s="1"/>
  <c r="J20" i="9"/>
  <c r="G20" i="9"/>
  <c r="H20" i="9" s="1"/>
  <c r="J19" i="9"/>
  <c r="G19" i="9"/>
  <c r="H19" i="9" s="1"/>
  <c r="J18" i="9"/>
  <c r="G18" i="9"/>
  <c r="H18" i="9" s="1"/>
  <c r="J17" i="9"/>
  <c r="G17" i="9"/>
  <c r="H17" i="9" s="1"/>
  <c r="J16" i="9"/>
  <c r="G16" i="9"/>
  <c r="H16" i="9" s="1"/>
  <c r="J15" i="9"/>
  <c r="G15" i="9"/>
  <c r="H15" i="9" s="1"/>
  <c r="B11" i="9" s="1"/>
  <c r="F11" i="9"/>
  <c r="E11" i="9"/>
  <c r="D11" i="9"/>
  <c r="C11" i="9"/>
  <c r="G79" i="8"/>
  <c r="H79" i="8" s="1"/>
  <c r="H78" i="8"/>
  <c r="G78" i="8"/>
  <c r="H77" i="8"/>
  <c r="G77" i="8"/>
  <c r="G76" i="8"/>
  <c r="H76" i="8" s="1"/>
  <c r="G75" i="8"/>
  <c r="H75" i="8" s="1"/>
  <c r="G74" i="8"/>
  <c r="H74" i="8" s="1"/>
  <c r="G73" i="8"/>
  <c r="H73" i="8" s="1"/>
  <c r="H72" i="8"/>
  <c r="G72" i="8"/>
  <c r="H12" i="8"/>
  <c r="G12" i="8"/>
  <c r="F12" i="8"/>
  <c r="E12" i="8"/>
  <c r="D12" i="8"/>
  <c r="C12" i="8"/>
  <c r="I12" i="8" s="1"/>
  <c r="B12" i="8"/>
  <c r="G6" i="8"/>
  <c r="G84" i="7"/>
  <c r="H84" i="7" s="1"/>
  <c r="G48" i="7"/>
  <c r="G47" i="7"/>
  <c r="G46" i="7"/>
  <c r="G45" i="7"/>
  <c r="G44" i="7"/>
  <c r="G43" i="7"/>
  <c r="G42" i="7"/>
  <c r="G41" i="7"/>
  <c r="D11" i="7" s="1"/>
  <c r="G40" i="7"/>
  <c r="G39" i="7"/>
  <c r="G38" i="7"/>
  <c r="G37" i="7"/>
  <c r="E31" i="7"/>
  <c r="G11" i="7" s="1"/>
  <c r="C31" i="7"/>
  <c r="F31" i="7" s="1"/>
  <c r="E30" i="7"/>
  <c r="E29" i="7"/>
  <c r="E28" i="7"/>
  <c r="E27" i="7"/>
  <c r="E26" i="7"/>
  <c r="J22" i="7"/>
  <c r="G22" i="7"/>
  <c r="H22" i="7" s="1"/>
  <c r="J21" i="7"/>
  <c r="G21" i="7"/>
  <c r="H21" i="7" s="1"/>
  <c r="J20" i="7"/>
  <c r="G20" i="7"/>
  <c r="H20" i="7" s="1"/>
  <c r="J19" i="7"/>
  <c r="H19" i="7"/>
  <c r="G19" i="7"/>
  <c r="J18" i="7"/>
  <c r="G18" i="7"/>
  <c r="H18" i="7" s="1"/>
  <c r="J17" i="7"/>
  <c r="G17" i="7"/>
  <c r="H17" i="7" s="1"/>
  <c r="J16" i="7"/>
  <c r="G16" i="7"/>
  <c r="H16" i="7" s="1"/>
  <c r="J15" i="7"/>
  <c r="H15" i="7"/>
  <c r="G15" i="7"/>
  <c r="F11" i="7"/>
  <c r="E11" i="7"/>
  <c r="C11" i="7"/>
  <c r="G79" i="6"/>
  <c r="H79" i="6" s="1"/>
  <c r="H78" i="6"/>
  <c r="G78" i="6"/>
  <c r="H77" i="6"/>
  <c r="G77" i="6"/>
  <c r="G76" i="6"/>
  <c r="H76" i="6" s="1"/>
  <c r="G75" i="6"/>
  <c r="H75" i="6" s="1"/>
  <c r="G74" i="6"/>
  <c r="H74" i="6" s="1"/>
  <c r="G73" i="6"/>
  <c r="H73" i="6" s="1"/>
  <c r="H72" i="6"/>
  <c r="G72" i="6"/>
  <c r="H12" i="6"/>
  <c r="G12" i="6"/>
  <c r="F12" i="6"/>
  <c r="E12" i="6"/>
  <c r="D12" i="6"/>
  <c r="C12" i="6"/>
  <c r="I12" i="6" s="1"/>
  <c r="B12" i="6"/>
  <c r="G6" i="6"/>
  <c r="H84" i="5"/>
  <c r="G84" i="5"/>
  <c r="G48" i="5"/>
  <c r="G47" i="5"/>
  <c r="G46" i="5"/>
  <c r="G45" i="5"/>
  <c r="G44" i="5"/>
  <c r="G43" i="5"/>
  <c r="G42" i="5"/>
  <c r="G41" i="5"/>
  <c r="G40" i="5"/>
  <c r="G39" i="5"/>
  <c r="G38" i="5"/>
  <c r="G37" i="5"/>
  <c r="D11" i="5" s="1"/>
  <c r="E32" i="5"/>
  <c r="H11" i="5" s="1"/>
  <c r="E31" i="5"/>
  <c r="C31" i="5"/>
  <c r="F31" i="5" s="1"/>
  <c r="E30" i="5"/>
  <c r="E29" i="5"/>
  <c r="E28" i="5"/>
  <c r="E27" i="5"/>
  <c r="E26" i="5"/>
  <c r="J22" i="5"/>
  <c r="H22" i="5"/>
  <c r="G22" i="5"/>
  <c r="J21" i="5"/>
  <c r="H21" i="5"/>
  <c r="G21" i="5"/>
  <c r="J20" i="5"/>
  <c r="G20" i="5"/>
  <c r="H20" i="5" s="1"/>
  <c r="J19" i="5"/>
  <c r="G19" i="5"/>
  <c r="H19" i="5" s="1"/>
  <c r="J18" i="5"/>
  <c r="H18" i="5"/>
  <c r="G18" i="5"/>
  <c r="J17" i="5"/>
  <c r="H17" i="5"/>
  <c r="G17" i="5"/>
  <c r="J16" i="5"/>
  <c r="G16" i="5"/>
  <c r="H16" i="5" s="1"/>
  <c r="J15" i="5"/>
  <c r="G15" i="5"/>
  <c r="H15" i="5" s="1"/>
  <c r="B11" i="5" s="1"/>
  <c r="G11" i="5"/>
  <c r="F11" i="5"/>
  <c r="E11" i="5"/>
  <c r="C11" i="5"/>
  <c r="G79" i="4"/>
  <c r="H79" i="4" s="1"/>
  <c r="H78" i="4"/>
  <c r="G78" i="4"/>
  <c r="H77" i="4"/>
  <c r="G77" i="4"/>
  <c r="H76" i="4"/>
  <c r="G76" i="4"/>
  <c r="H75" i="4"/>
  <c r="G75" i="4"/>
  <c r="G74" i="4"/>
  <c r="H74" i="4" s="1"/>
  <c r="G73" i="4"/>
  <c r="H73" i="4" s="1"/>
  <c r="H72" i="4"/>
  <c r="G72" i="4"/>
  <c r="H12" i="4"/>
  <c r="G12" i="4"/>
  <c r="F12" i="4"/>
  <c r="E12" i="4"/>
  <c r="D12" i="4"/>
  <c r="C12" i="4"/>
  <c r="B12" i="4"/>
  <c r="I12" i="4" s="1"/>
  <c r="G6" i="4"/>
  <c r="H84" i="3"/>
  <c r="G84" i="3"/>
  <c r="G48" i="3"/>
  <c r="G47" i="3"/>
  <c r="G46" i="3"/>
  <c r="G45" i="3"/>
  <c r="G44" i="3"/>
  <c r="D11" i="3" s="1"/>
  <c r="G43" i="3"/>
  <c r="G42" i="3"/>
  <c r="G41" i="3"/>
  <c r="G40" i="3"/>
  <c r="G39" i="3"/>
  <c r="G38" i="3"/>
  <c r="G37" i="3"/>
  <c r="E31" i="3"/>
  <c r="E32" i="3" s="1"/>
  <c r="H11" i="3" s="1"/>
  <c r="C31" i="3"/>
  <c r="F31" i="3" s="1"/>
  <c r="E30" i="3"/>
  <c r="E29" i="3"/>
  <c r="E28" i="3"/>
  <c r="E27" i="3"/>
  <c r="E26" i="3"/>
  <c r="J22" i="3"/>
  <c r="H22" i="3"/>
  <c r="G22" i="3"/>
  <c r="J21" i="3"/>
  <c r="H21" i="3"/>
  <c r="G21" i="3"/>
  <c r="J20" i="3"/>
  <c r="H20" i="3"/>
  <c r="G20" i="3"/>
  <c r="J19" i="3"/>
  <c r="G19" i="3"/>
  <c r="H19" i="3" s="1"/>
  <c r="J18" i="3"/>
  <c r="H18" i="3"/>
  <c r="G18" i="3"/>
  <c r="J17" i="3"/>
  <c r="H17" i="3"/>
  <c r="G17" i="3"/>
  <c r="J16" i="3"/>
  <c r="H16" i="3"/>
  <c r="G16" i="3"/>
  <c r="J15" i="3"/>
  <c r="G15" i="3"/>
  <c r="H15" i="3" s="1"/>
  <c r="B11" i="3" s="1"/>
  <c r="G11" i="3"/>
  <c r="F11" i="3"/>
  <c r="E11" i="3"/>
  <c r="C11" i="3"/>
  <c r="H79" i="2"/>
  <c r="G79" i="2"/>
  <c r="H78" i="2"/>
  <c r="G78" i="2"/>
  <c r="H77" i="2"/>
  <c r="G77" i="2"/>
  <c r="H76" i="2"/>
  <c r="G76" i="2"/>
  <c r="G75" i="2"/>
  <c r="H75" i="2" s="1"/>
  <c r="G74" i="2"/>
  <c r="H74" i="2" s="1"/>
  <c r="H73" i="2"/>
  <c r="G73" i="2"/>
  <c r="H72" i="2"/>
  <c r="G72" i="2"/>
  <c r="H12" i="2"/>
  <c r="G12" i="2"/>
  <c r="F12" i="2"/>
  <c r="E12" i="2"/>
  <c r="D12" i="2"/>
  <c r="C12" i="2"/>
  <c r="B12" i="2"/>
  <c r="I12" i="2" s="1"/>
  <c r="G6" i="2"/>
  <c r="B11" i="7" l="1"/>
  <c r="E32" i="7"/>
  <c r="H11" i="7" s="1"/>
  <c r="E32" i="9"/>
  <c r="H11" i="9" s="1"/>
</calcChain>
</file>

<file path=xl/sharedStrings.xml><?xml version="1.0" encoding="utf-8"?>
<sst xmlns="http://schemas.openxmlformats.org/spreadsheetml/2006/main" count="1235" uniqueCount="468">
  <si>
    <t>BỘ TEMPLATE BÁO CÁO CÔNG VIỆC THEO TUẦN VÀ THÁNG</t>
  </si>
  <si>
    <t>Áp dụng cho 4 phòng ban: Marketing Content, Tài chính - Thu mua, Program Event, Nhân sự</t>
  </si>
  <si>
    <t>1. MỤC ĐÍCH: MỖI BÁO CÁO TRẢ LỜI 5 CÂU HỎI</t>
  </si>
  <si>
    <t>Câu hỏi</t>
  </si>
  <si>
    <t>Nằm ở phần nào trong báo cáo</t>
  </si>
  <si>
    <t>Làm gì?</t>
  </si>
  <si>
    <t>Cột Task trong bảng công việc, bảng kế hoạch</t>
  </si>
  <si>
    <t>Ai làm?</t>
  </si>
  <si>
    <t>Cột Owner, Vai trò và bảng RACI</t>
  </si>
  <si>
    <t>Khi nào?</t>
  </si>
  <si>
    <t>Cột Deadline và Status</t>
  </si>
  <si>
    <t>Tới đâu?</t>
  </si>
  <si>
    <t>Cột % HT, bảng KPI, điểm đánh giá</t>
  </si>
  <si>
    <t>Còn tồn gì?</t>
  </si>
  <si>
    <t>Bảng task tồn đọng (có lý do, giải pháp, deadline mới) và bảng vấn đề, đề xuất</t>
  </si>
  <si>
    <t>2. DANH SÁCH SHEET</t>
  </si>
  <si>
    <t>Sheet</t>
  </si>
  <si>
    <t>Nội dung</t>
  </si>
  <si>
    <t>Danh mục</t>
  </si>
  <si>
    <t>Danh sách chọn (Status, Ưu tiên, Vai trò từng phòng) và ngưỡng đánh giá KPI, xếp loại. Sửa tại đây để áp dụng cho toàn bộ file</t>
  </si>
  <si>
    <t>[Phòng ban] - Tuần</t>
  </si>
  <si>
    <t>Báo cáo tuần: thông tin chung, tổng quan, bảng công việc, RACI, task tồn, task tuần sau, vấn đề và đề xuất, KPI tuần</t>
  </si>
  <si>
    <t>[Phòng ban] - Tháng</t>
  </si>
  <si>
    <t>Báo cáo tháng: tổng quan, KPI, điểm đánh giá, task hoàn thành / tồn / hủy, root cause, đóng góp thành viên, kế hoạch tháng sau, đề xuất</t>
  </si>
  <si>
    <t>Phòng ban có sẵn</t>
  </si>
  <si>
    <t>Marketing Content, Tài chính Thu mua, Program Event, Nhân sự (mỗi phòng 1 sheet Tuần và 1 sheet Tháng, KPI và vai trò đã được gợi ý theo đặc thù)</t>
  </si>
  <si>
    <t>3. CÁCH SỬ DỤNG</t>
  </si>
  <si>
    <t>Bước 1</t>
  </si>
  <si>
    <t>Nhân bản (Move or Copy) sheet của phòng ban cho mỗi kỳ báo cáo, đặt tên theo tuần hoặc tháng, ví dụ: Marketing Content - Tuần 42</t>
  </si>
  <si>
    <t>Bước 2</t>
  </si>
  <si>
    <t>Điền phần Thông tin chung. Chỉ cần nhập ngày Thứ 2 ở sheet Tuần, ngày Chủ nhật tự tính</t>
  </si>
  <si>
    <t>Bước 3</t>
  </si>
  <si>
    <t>Xóa dòng ví dụ (dòng số 1 mỗi bảng) rồi nhập dữ liệu thật. Mỗi task có đúng 1 Owner, có Deadline và Status</t>
  </si>
  <si>
    <t>Bước 4</t>
  </si>
  <si>
    <t>Task chưa xong phải đưa vào bảng Task tồn đọng với lý do, giải pháp và deadline mới</t>
  </si>
  <si>
    <t>Bước 5</t>
  </si>
  <si>
    <t>Nhập Target và Thực tế cho từng KPI. % HT và Trạng thái tự tính. Có thể đổi tên KPI cho phù hợp</t>
  </si>
  <si>
    <t>Bước 6</t>
  </si>
  <si>
    <t>Kiểm tra checklist ở mục 6 rồi nộp đúng hạn</t>
  </si>
  <si>
    <t>4. QUY ƯỚC Ô VÀ ĐỊNH DẠNG</t>
  </si>
  <si>
    <t>Nền vàng nhạt</t>
  </si>
  <si>
    <t>Ô nhập thông tin chung (phòng ban, người báo cáo, tuần/tháng...)</t>
  </si>
  <si>
    <t>Nền xám nhạt</t>
  </si>
  <si>
    <t>Ô công thức tự tính (% HT, Trạng thái, Đúng hạn, tổng quan...). Không gõ đè</t>
  </si>
  <si>
    <t>Ô trắng</t>
  </si>
  <si>
    <t>Ô nhập dữ liệu. Các cột có mũi tên là danh sách chọn, vẫn có thể gõ giá trị khác</t>
  </si>
  <si>
    <t>Chữ đỏ ở Deadline</t>
  </si>
  <si>
    <t>Deadline đã qua nhưng Status chưa phải Done</t>
  </si>
  <si>
    <t>KPI nhập số thuần</t>
  </si>
  <si>
    <t>KPI đơn vị % nhập 95 cho 95%. Cột Chiều đạt cho biết KPI cao hơn là tốt (lead, doanh thu) hay thấp hơn là tốt (CPL, công nợ quá hạn)</t>
  </si>
  <si>
    <t>Status</t>
  </si>
  <si>
    <t>Done: hoàn thành | In Progress: đang làm | Blocked: đang vướng | Pending: chờ xử lý | Overdue: trễ hạn</t>
  </si>
  <si>
    <t>5. CHU KỲ BÁO CÁO CHUẨN</t>
  </si>
  <si>
    <t>Thời điểm</t>
  </si>
  <si>
    <t>Hoạt động</t>
  </si>
  <si>
    <t>Thứ 2</t>
  </si>
  <si>
    <t>Nhận task tuần (Weekly Planning)</t>
  </si>
  <si>
    <t>Hằng ngày, 9:00</t>
  </si>
  <si>
    <t>Daily standup 15 phút: hôm nay làm gì, có vướng gì</t>
  </si>
  <si>
    <t>Thứ 4</t>
  </si>
  <si>
    <t>Check-in giữa tuần 15 phút</t>
  </si>
  <si>
    <t>Thứ 6, 16:00</t>
  </si>
  <si>
    <t>Weekly review 60 phút, trình bày báo cáo tuần</t>
  </si>
  <si>
    <t>Thứ 6, 17:00</t>
  </si>
  <si>
    <t>Hạn nộp báo cáo tuần</t>
  </si>
  <si>
    <t>Ngày 3 hằng tháng</t>
  </si>
  <si>
    <t>Hạn nộp báo cáo tháng của tháng trước</t>
  </si>
  <si>
    <t>Ngày 5 hằng tháng</t>
  </si>
  <si>
    <t>Monthly review 2 giờ, toàn công ty và liên phòng ban</t>
  </si>
  <si>
    <t>Hằng quý</t>
  </si>
  <si>
    <t>Họp OKR 4 giờ, thiết lập lại mục tiêu</t>
  </si>
  <si>
    <t>6. CHECKLIST TRƯỚC KHI NỘP</t>
  </si>
  <si>
    <t>Thông tin chung</t>
  </si>
  <si>
    <t>Đã điền đủ phòng ban, tuần/tháng, người nộp, người nhận</t>
  </si>
  <si>
    <t>Task</t>
  </si>
  <si>
    <t>100% task đều có Owner, Deadline và Status</t>
  </si>
  <si>
    <t>Task tồn đọng</t>
  </si>
  <si>
    <t>Đã có lý do, giải pháp và deadline mới</t>
  </si>
  <si>
    <t>KPI</t>
  </si>
  <si>
    <t>Đã so sánh Target và Thực tế</t>
  </si>
  <si>
    <t>RACI</t>
  </si>
  <si>
    <t>Đã rõ vai trò cho các task quan trọng</t>
  </si>
  <si>
    <t>Đề xuất</t>
  </si>
  <si>
    <t>Đã ghi rõ người cần duyệt và hạn cần quyết</t>
  </si>
  <si>
    <t>Thời hạn</t>
  </si>
  <si>
    <t>Nộp đúng hạn (Thứ 6, 17:00 với tuần; ngày 3 với tháng)</t>
  </si>
  <si>
    <t>7. BA NGUYÊN TẮC</t>
  </si>
  <si>
    <t>Dùng bảng, không viết văn</t>
  </si>
  <si>
    <t>Bảng giúp quét nhanh, so sánh dễ, hạn chế cảm tính</t>
  </si>
  <si>
    <t>Task tồn phải có deadline mới</t>
  </si>
  <si>
    <t>Không có deadline mới thì task sẽ tồn mãi</t>
  </si>
  <si>
    <t>Mỗi task đúng 1 Owner (R)</t>
  </si>
  <si>
    <t>Nhiều người cùng chịu trách nhiệm thì không ai chịu trách nhiệm</t>
  </si>
  <si>
    <t>BÁO CÁO CÔNG VIỆC TUẦN - MARKETING CONTENT</t>
  </si>
  <si>
    <t>Ô nền vàng: nhập thông tin chung. Ô nền xám: công thức tự tính, không sửa. Dòng số 1 của mỗi bảng là dòng ví dụ, ghi đè hoặc xóa khi dùng.</t>
  </si>
  <si>
    <t>A. THÔNG TIN CHUNG</t>
  </si>
  <si>
    <t>Phòng ban</t>
  </si>
  <si>
    <t>Marketing Content</t>
  </si>
  <si>
    <t>Tuần số</t>
  </si>
  <si>
    <t>Từ ngày (Thứ 2)</t>
  </si>
  <si>
    <t>Đến ngày (Chủ nhật)</t>
  </si>
  <si>
    <t>Người báo cáo</t>
  </si>
  <si>
    <t>Người nhận</t>
  </si>
  <si>
    <t>Hạn nộp</t>
  </si>
  <si>
    <t>Ngày nộp thực tế</t>
  </si>
  <si>
    <t>B. TỔNG QUAN TUẦN</t>
  </si>
  <si>
    <t>Tổng task</t>
  </si>
  <si>
    <t>Done</t>
  </si>
  <si>
    <t>In Progress</t>
  </si>
  <si>
    <t>Blocked</t>
  </si>
  <si>
    <t>Pending</t>
  </si>
  <si>
    <t>Overdue</t>
  </si>
  <si>
    <t>% hoàn thành trung bình</t>
  </si>
  <si>
    <t>Tỷ lệ task Done</t>
  </si>
  <si>
    <t>C. BẢNG CÔNG VIỆC TRONG TUẦN</t>
  </si>
  <si>
    <t>#</t>
  </si>
  <si>
    <t>Vai trò</t>
  </si>
  <si>
    <t>Owner</t>
  </si>
  <si>
    <t>Deadline</t>
  </si>
  <si>
    <t>% HT</t>
  </si>
  <si>
    <t>Kết quả / Ghi chú</t>
  </si>
  <si>
    <t>Viết 8 bài content tháng 10</t>
  </si>
  <si>
    <t>Content Writer</t>
  </si>
  <si>
    <t>A</t>
  </si>
  <si>
    <t>Đăng đủ 8 bài</t>
  </si>
  <si>
    <t>Status: Done (hoàn thành) / In Progress (đang làm) / Blocked (đang vướng) / Pending (chờ xử lý) / Overdue (trễ hạn). Deadline quá hạn mà chưa Done sẽ hiện chữ đỏ.</t>
  </si>
  <si>
    <t>D. VAI TRÒ VÀ TRÁCH NHIỆM (RACI) - CHO TASK QUAN TRỌNG</t>
  </si>
  <si>
    <t>R - Người làm</t>
  </si>
  <si>
    <t>A - Người duyệt / chịu trách nhiệm cuối</t>
  </si>
  <si>
    <t>C - Người tư vấn</t>
  </si>
  <si>
    <t>I - Người nhận thông tin</t>
  </si>
  <si>
    <t>Ghi chú</t>
  </si>
  <si>
    <t>Viết content</t>
  </si>
  <si>
    <t>Marketing Lead</t>
  </si>
  <si>
    <t>Sales</t>
  </si>
  <si>
    <t>CEO</t>
  </si>
  <si>
    <t>Mỗi task có đúng 1 người R. A là người chịu trách nhiệm cuối cùng về kết quả.</t>
  </si>
  <si>
    <t>E. TASK TỒN ĐỌNG TỪ TUẦN TRƯỚC</t>
  </si>
  <si>
    <t>Task tồn</t>
  </si>
  <si>
    <t>Ưu tiên</t>
  </si>
  <si>
    <t>Deadline mới</t>
  </si>
  <si>
    <t>Lý do tồn</t>
  </si>
  <si>
    <t>Giải pháp</t>
  </si>
  <si>
    <t>Setup landing page chiến dịch tháng 10</t>
  </si>
  <si>
    <t>B</t>
  </si>
  <si>
    <t>Cao</t>
  </si>
  <si>
    <t>Chờ designer bàn giao layout</t>
  </si>
  <si>
    <t>Designer ưu tiên hoàn thành trước 12/10</t>
  </si>
  <si>
    <t>Ưu tiên: Cao (ảnh hưởng KPI, xong trong tuần) / Trung bình (xong trong 1-2 tuần) / Thấp (có thể dời). Task tồn bắt buộc có Deadline mới.</t>
  </si>
  <si>
    <t>F. TASK CHUYỂN SANG TUẦN SAU</t>
  </si>
  <si>
    <t>Mục tiêu tuần</t>
  </si>
  <si>
    <t>Launch campaign tháng 11</t>
  </si>
  <si>
    <t>Chạy 50% ngân sách, đạt 60 lead</t>
  </si>
  <si>
    <t>G. VẤN ĐỀ VÀ ĐỀ XUẤT</t>
  </si>
  <si>
    <t>Vấn đề</t>
  </si>
  <si>
    <t>Ảnh hưởng</t>
  </si>
  <si>
    <t>Người cần quyết</t>
  </si>
  <si>
    <t>Hạn cần quyết</t>
  </si>
  <si>
    <t>Thiếu 1 designer</t>
  </si>
  <si>
    <t>Chậm 3 task thiết kế</t>
  </si>
  <si>
    <t>Tuyển freelance</t>
  </si>
  <si>
    <t>HR + CEO</t>
  </si>
  <si>
    <t>H. KPI TUẦN</t>
  </si>
  <si>
    <t>Đơn vị</t>
  </si>
  <si>
    <t>Chiều đạt</t>
  </si>
  <si>
    <t>Target</t>
  </si>
  <si>
    <t>Thực tế</t>
  </si>
  <si>
    <t>Trạng thái</t>
  </si>
  <si>
    <t>Số bài đăng</t>
  </si>
  <si>
    <t>bài</t>
  </si>
  <si>
    <t>Cao hơn là tốt</t>
  </si>
  <si>
    <t>Lead</t>
  </si>
  <si>
    <t>lead</t>
  </si>
  <si>
    <t>Chi phí trên mỗi lead (CPL)</t>
  </si>
  <si>
    <t>VND</t>
  </si>
  <si>
    <t>Thấp hơn là tốt</t>
  </si>
  <si>
    <t>Reach</t>
  </si>
  <si>
    <t>lượt</t>
  </si>
  <si>
    <t>Tỷ lệ tương tác (ER)</t>
  </si>
  <si>
    <t>%</t>
  </si>
  <si>
    <t>Số video xuất bản</t>
  </si>
  <si>
    <t>video</t>
  </si>
  <si>
    <t>Trạng thái: Đạt (đạt target) / Cần chú ý (từ ngưỡng cảnh báo) / Không đạt. Ngưỡng cấu hình ở sheet Danh mục. Với KPI đơn vị %, nhập số thuần (95 nghĩa là 95%).</t>
  </si>
  <si>
    <t>BÁO CÁO CÔNG VIỆC THÁNG - MARKETING CONTENT</t>
  </si>
  <si>
    <t>Tháng/Năm</t>
  </si>
  <si>
    <t>Tháng 10/2026</t>
  </si>
  <si>
    <t>Ngày 3 của tháng sau</t>
  </si>
  <si>
    <t>B. TỔNG QUAN THÁNG</t>
  </si>
  <si>
    <t>KPI đạt / tổng KPI</t>
  </si>
  <si>
    <t>Task hoàn thành</t>
  </si>
  <si>
    <t>Tỷ lệ đúng hạn</t>
  </si>
  <si>
    <t>Task hủy / hoãn</t>
  </si>
  <si>
    <t>Điểm tổng</t>
  </si>
  <si>
    <t>Xếp loại</t>
  </si>
  <si>
    <t>C. KPI THÁNG</t>
  </si>
  <si>
    <t>Tháng trước</t>
  </si>
  <si>
    <t>So tháng trước</t>
  </si>
  <si>
    <t>Số bài content</t>
  </si>
  <si>
    <t>Chi phí quảng cáo so với ngân sách</t>
  </si>
  <si>
    <t>D. ĐIỂM SỐ ĐÁNH GIÁ</t>
  </si>
  <si>
    <t>Tiêu chí</t>
  </si>
  <si>
    <t>Trọng số</t>
  </si>
  <si>
    <t>Điểm (0-10)</t>
  </si>
  <si>
    <t>Điểm quy đổi</t>
  </si>
  <si>
    <t>Căn cứ chấm điểm</t>
  </si>
  <si>
    <t>Hoàn thành KPI</t>
  </si>
  <si>
    <t>Chất lượng công việc</t>
  </si>
  <si>
    <t>Đúng deadline</t>
  </si>
  <si>
    <t>Phối hợp</t>
  </si>
  <si>
    <t>Sáng kiến cải tiến</t>
  </si>
  <si>
    <t>TỔNG</t>
  </si>
  <si>
    <t>XẾP LOẠI</t>
  </si>
  <si>
    <t>A (từ 9) / B (từ 7) / C (từ 5) / D (dưới 5). Ngưỡng cấu hình ở sheet Danh mục.</t>
  </si>
  <si>
    <t>E. CHI TIẾT CÔNG VIỆC THÁNG</t>
  </si>
  <si>
    <t>E.1. Task hoàn thành</t>
  </si>
  <si>
    <t>Ngày xong</t>
  </si>
  <si>
    <t>Đúng hạn?</t>
  </si>
  <si>
    <t>Kết quả</t>
  </si>
  <si>
    <t>Campaign tháng 10</t>
  </si>
  <si>
    <t>Media Buyer</t>
  </si>
  <si>
    <t>120 lead</t>
  </si>
  <si>
    <t>E.2. Task tồn đọng (carry-over)</t>
  </si>
  <si>
    <t>Deadline gốc</t>
  </si>
  <si>
    <t>Người hỗ trợ</t>
  </si>
  <si>
    <t>Lý do</t>
  </si>
  <si>
    <t>Landing page</t>
  </si>
  <si>
    <t>Design Lead</t>
  </si>
  <si>
    <t>Design trễ bàn giao</t>
  </si>
  <si>
    <t>Ưu tiên nguồn lực designer</t>
  </si>
  <si>
    <t>E.3. Task bị hủy / hoãn</t>
  </si>
  <si>
    <t>Loại</t>
  </si>
  <si>
    <t>Quyết định bởi</t>
  </si>
  <si>
    <t>Ngày quyết định</t>
  </si>
  <si>
    <t>Event offline tháng 10</t>
  </si>
  <si>
    <t>Hoãn</t>
  </si>
  <si>
    <t>Cắt giảm ngân sách quý 4</t>
  </si>
  <si>
    <t>F. PHÂN TÍCH NGUYÊN NHÂN (ROOT CAUSE) - DÙNG 5 WHYS HOẶC FISHBONE</t>
  </si>
  <si>
    <t>Nguyên nhân gốc</t>
  </si>
  <si>
    <t>Bằng chứng</t>
  </si>
  <si>
    <t>Owner giải pháp</t>
  </si>
  <si>
    <t>CPL tăng</t>
  </si>
  <si>
    <t>Target audience cũ</t>
  </si>
  <si>
    <t>Dữ liệu Facebook Ads</t>
  </si>
  <si>
    <t>A/B test 3 nhóm audience mới</t>
  </si>
  <si>
    <t>G. VAI TRÒ VÀ ĐÓNG GÓP CỦA THÀNH VIÊN</t>
  </si>
  <si>
    <t>Thành viên</t>
  </si>
  <si>
    <t>Task chính</t>
  </si>
  <si>
    <t>% đóng góp</t>
  </si>
  <si>
    <t>Đánh giá (1-5)</t>
  </si>
  <si>
    <t>Nhận xét</t>
  </si>
  <si>
    <t>Viết 32 bài content</t>
  </si>
  <si>
    <t>Đúng hạn, chất lượng ổn định</t>
  </si>
  <si>
    <t>TỔNG % ĐÓNG GÓP</t>
  </si>
  <si>
    <t>H. KẾ HOẠCH THÁNG SAU</t>
  </si>
  <si>
    <t>Task / Mục tiêu</t>
  </si>
  <si>
    <t>Vai trò (RACI)</t>
  </si>
  <si>
    <t>KPI đo lường</t>
  </si>
  <si>
    <t>Campaign tháng 11</t>
  </si>
  <si>
    <t>R</t>
  </si>
  <si>
    <t>200 lead</t>
  </si>
  <si>
    <t>I. ĐỀ XUẤT VÀ CẦN HỖ TRỢ</t>
  </si>
  <si>
    <t>Người cần duyệt</t>
  </si>
  <si>
    <t>Tăng ngân sách ads 20%</t>
  </si>
  <si>
    <t>CPL tăng, cần mở rộng test audience</t>
  </si>
  <si>
    <t>BÁO CÁO CÔNG VIỆC TUẦN - TÀI CHÍNH - THU MUA</t>
  </si>
  <si>
    <t>Tài chính - Thu mua</t>
  </si>
  <si>
    <t>Chốt sổ và đối chiếu công nợ nhà cung cấp</t>
  </si>
  <si>
    <t>Kế toán công nợ</t>
  </si>
  <si>
    <t>Đối chiếu xong 12 nhà cung cấp</t>
  </si>
  <si>
    <t>Duyệt đề nghị thanh toán</t>
  </si>
  <si>
    <t>Kế toán thanh toán</t>
  </si>
  <si>
    <t>Kế toán trưởng</t>
  </si>
  <si>
    <t>Giám đốc tài chính</t>
  </si>
  <si>
    <t>Phòng đề xuất</t>
  </si>
  <si>
    <t>Bổ sung chứng từ thanh toán tháng 9</t>
  </si>
  <si>
    <t>Thiếu hóa đơn từ nhà cung cấp</t>
  </si>
  <si>
    <t>Gửi yêu cầu bổ sung, hạn chót 13/10</t>
  </si>
  <si>
    <t>Lập báo cáo thuế tháng 10</t>
  </si>
  <si>
    <t>D</t>
  </si>
  <si>
    <t>Nộp đúng hạn, không sai sót</t>
  </si>
  <si>
    <t>Báo giá nhà cung cấp chậm</t>
  </si>
  <si>
    <t>Trễ 2 PO của dự án</t>
  </si>
  <si>
    <t>Chuyển sang nhà cung cấp dự phòng</t>
  </si>
  <si>
    <t>Trưởng bộ phận Thu mua</t>
  </si>
  <si>
    <t>Số PO xử lý</t>
  </si>
  <si>
    <t>PO</t>
  </si>
  <si>
    <t>Số bộ chứng từ xử lý</t>
  </si>
  <si>
    <t>bộ</t>
  </si>
  <si>
    <t>Thời gian xử lý PO trung bình</t>
  </si>
  <si>
    <t>ngày</t>
  </si>
  <si>
    <t>Công nợ quá hạn</t>
  </si>
  <si>
    <t>triệu VND</t>
  </si>
  <si>
    <t>Thanh toán đúng hạn</t>
  </si>
  <si>
    <t>Tiết kiệm chi phí thu mua</t>
  </si>
  <si>
    <t>BÁO CÁO CÔNG VIỆC THÁNG - TÀI CHÍNH - THU MUA</t>
  </si>
  <si>
    <t>Thanh toán nhà cung cấp đúng hạn</t>
  </si>
  <si>
    <t>Chênh lệch so với ngân sách</t>
  </si>
  <si>
    <t>DSO</t>
  </si>
  <si>
    <t>Số ngày trễ chốt sổ</t>
  </si>
  <si>
    <t>Nộp báo cáo thuế tháng 9</t>
  </si>
  <si>
    <t>Kế toán tổng hợp</t>
  </si>
  <si>
    <t>Nộp đúng hạn</t>
  </si>
  <si>
    <t>Đối chiếu công nợ phải thu</t>
  </si>
  <si>
    <t>IT</t>
  </si>
  <si>
    <t>Dữ liệu từ phần mềm sai lệch</t>
  </si>
  <si>
    <t>IT chỉnh dữ liệu, kế toán đối chiếu lại</t>
  </si>
  <si>
    <t>Đánh giá lại toàn bộ nhà cung cấp</t>
  </si>
  <si>
    <t>Chuyển sang quý 1 năm sau do thiếu nhân sự</t>
  </si>
  <si>
    <t>Thời gian xử lý PO tăng</t>
  </si>
  <si>
    <t>Quy trình duyệt qua 3 cấp</t>
  </si>
  <si>
    <t>Dữ liệu PO tháng 10</t>
  </si>
  <si>
    <t>Rút còn 2 cấp duyệt với PO dưới 50 triệu</t>
  </si>
  <si>
    <t>Đối chiếu công nợ, theo dõi thanh toán</t>
  </si>
  <si>
    <t>Đối chiếu chính xác</t>
  </si>
  <si>
    <t>Chốt sổ tháng 10</t>
  </si>
  <si>
    <t>Chốt sổ đúng ngày 5</t>
  </si>
  <si>
    <t>Mua phần mềm quản lý PO</t>
  </si>
  <si>
    <t>Giảm thời gian xử lý PO</t>
  </si>
  <si>
    <t>BÁO CÁO CÔNG VIỆC TUẦN - PROGRAM EVENT</t>
  </si>
  <si>
    <t>Program Event</t>
  </si>
  <si>
    <t>Chốt kịch bản và timeline sự kiện ra mắt sản phẩm</t>
  </si>
  <si>
    <t>Producer</t>
  </si>
  <si>
    <t>Khách hàng đã duyệt kịch bản</t>
  </si>
  <si>
    <t>Setup sân khấu</t>
  </si>
  <si>
    <t>Event Executive</t>
  </si>
  <si>
    <t>Project Lead</t>
  </si>
  <si>
    <t>Vendor Coordinator</t>
  </si>
  <si>
    <t>Khách hàng</t>
  </si>
  <si>
    <t>Xác nhận hợp đồng nhà cung cấp âm thanh ánh sáng</t>
  </si>
  <si>
    <t>Vendor chưa gửi báo giá cuối</t>
  </si>
  <si>
    <t>Escalate lên quản lý vendor, hạn chót 11/10</t>
  </si>
  <si>
    <t>Chạy thử chương trình (rehearsal)</t>
  </si>
  <si>
    <t>Hoàn tất rehearsal, ghi nhận lỗi</t>
  </si>
  <si>
    <t>Địa điểm đổi lịch bốc dỡ</t>
  </si>
  <si>
    <t>Rút ngắn thời gian setup 4 giờ</t>
  </si>
  <si>
    <t>Thêm 1 đội setup</t>
  </si>
  <si>
    <t>Event Manager</t>
  </si>
  <si>
    <t>Milestone hoàn thành</t>
  </si>
  <si>
    <t>Số hạng mục triển khai</t>
  </si>
  <si>
    <t>hạng mục</t>
  </si>
  <si>
    <t>Chi phí thực tế so với ngân sách</t>
  </si>
  <si>
    <t>Số sự cố phát sinh</t>
  </si>
  <si>
    <t>sự cố</t>
  </si>
  <si>
    <t>Vendor giao đúng hạn</t>
  </si>
  <si>
    <t>BÁO CÁO CÔNG VIỆC THÁNG - PROGRAM EVENT</t>
  </si>
  <si>
    <t>Số sự kiện tổ chức</t>
  </si>
  <si>
    <t>sự kiện</t>
  </si>
  <si>
    <t>Mức độ hoàn thành milestone</t>
  </si>
  <si>
    <t>NPS</t>
  </si>
  <si>
    <t>điểm</t>
  </si>
  <si>
    <t>ROI sự kiện</t>
  </si>
  <si>
    <t>Số sự cố</t>
  </si>
  <si>
    <t>Tổ chức sự kiện ra mắt sản phẩm</t>
  </si>
  <si>
    <t>Đủ 300 khách tham dự</t>
  </si>
  <si>
    <t>Quyết toán chi phí sự kiện</t>
  </si>
  <si>
    <t>Kế toán</t>
  </si>
  <si>
    <t>Trung bình</t>
  </si>
  <si>
    <t>Vendor gửi hóa đơn trễ</t>
  </si>
  <si>
    <t>Nhắc vendor, đặt hạn chót 05/11</t>
  </si>
  <si>
    <t>Workshop khách hàng</t>
  </si>
  <si>
    <t>Hủy</t>
  </si>
  <si>
    <t>Khách hàng đổi kế hoạch</t>
  </si>
  <si>
    <t>Chi phí vượt ngân sách</t>
  </si>
  <si>
    <t>Phát sinh thuê thêm nhân sự setup</t>
  </si>
  <si>
    <t>Bảng quyết toán sơ bộ</t>
  </si>
  <si>
    <t>Lập dự phòng 10% cho phần nhân sự</t>
  </si>
  <si>
    <t>Điều phối sự kiện ra mắt</t>
  </si>
  <si>
    <t>Xử lý sự cố tốt</t>
  </si>
  <si>
    <t>Sự kiện tri ân khách hàng tháng 11</t>
  </si>
  <si>
    <t>Đủ 200 khách, NPS từ 8</t>
  </si>
  <si>
    <t>Ký hợp đồng khung với 2 vendor chính</t>
  </si>
  <si>
    <t>Giảm thời gian đàm phán mỗi sự kiện</t>
  </si>
  <si>
    <t>BÁO CÁO CÔNG VIỆC TUẦN - NHÂN SỰ</t>
  </si>
  <si>
    <t>Nhân sự</t>
  </si>
  <si>
    <t>Sàng lọc CV cho vị trí Sales Executive</t>
  </si>
  <si>
    <t>Recruiter</t>
  </si>
  <si>
    <t>Sàng lọc 60 CV, chọn 15 ứng viên</t>
  </si>
  <si>
    <t>Phỏng vấn ứng viên</t>
  </si>
  <si>
    <t>Trưởng phòng Nhân sự</t>
  </si>
  <si>
    <t>Trưởng bộ phận cần tuyển</t>
  </si>
  <si>
    <t>Hoàn thiện hồ sơ nhân viên mới</t>
  </si>
  <si>
    <t>Thiếu giấy tờ từ nhân viên</t>
  </si>
  <si>
    <t>Nhắc nhân viên nộp, hạn chót 12/10</t>
  </si>
  <si>
    <t>Onboarding nhân viên mới</t>
  </si>
  <si>
    <t>Hoàn thành 3 buổi định hướng</t>
  </si>
  <si>
    <t>Ứng viên từ chối offer</t>
  </si>
  <si>
    <t>Chậm tuyển vị trí Sales</t>
  </si>
  <si>
    <t>Rà soát lại mức lương đề xuất</t>
  </si>
  <si>
    <t>CV được sàng lọc</t>
  </si>
  <si>
    <t>CV</t>
  </si>
  <si>
    <t>Phỏng vấn thực hiện</t>
  </si>
  <si>
    <t>buổi</t>
  </si>
  <si>
    <t>Offer đã gửi</t>
  </si>
  <si>
    <t>offer</t>
  </si>
  <si>
    <t>Tỷ lệ chấp nhận offer</t>
  </si>
  <si>
    <t>Giờ đào tạo thực hiện</t>
  </si>
  <si>
    <t>giờ</t>
  </si>
  <si>
    <t>Hồ sơ nhân sự xử lý đúng hạn</t>
  </si>
  <si>
    <t>BÁO CÁO CÔNG VIỆC THÁNG - NHÂN SỰ</t>
  </si>
  <si>
    <t>Số vị trí tuyển đủ so với kế hoạch</t>
  </si>
  <si>
    <t>Time-to-hire</t>
  </si>
  <si>
    <t>eNPS</t>
  </si>
  <si>
    <t>Tỷ lệ nghỉ việc</t>
  </si>
  <si>
    <t>Giờ đào tạo bình quân mỗi người</t>
  </si>
  <si>
    <t>Lương chi trả đúng hạn</t>
  </si>
  <si>
    <t>Chốt bảng lương tháng 9</t>
  </si>
  <si>
    <t>C</t>
  </si>
  <si>
    <t>C&amp;B</t>
  </si>
  <si>
    <t>Chi trả đúng hạn</t>
  </si>
  <si>
    <t>Xây dựng thang bảng lương mới</t>
  </si>
  <si>
    <t>Tài chính</t>
  </si>
  <si>
    <t>Chờ số liệu khảo sát lương thị trường</t>
  </si>
  <si>
    <t>Mua dữ liệu khảo sát, hoàn tất 05/11</t>
  </si>
  <si>
    <t>Chương trình team building</t>
  </si>
  <si>
    <t>Dời sang quý sau vì lịch dự án</t>
  </si>
  <si>
    <t>Time-to-hire tăng</t>
  </si>
  <si>
    <t>Quy trình phỏng vấn kéo dài 3 vòng</t>
  </si>
  <si>
    <t>Dữ liệu ATS tháng 10</t>
  </si>
  <si>
    <t>Rút còn 2 vòng với vị trí cấp nhân viên</t>
  </si>
  <si>
    <t>Tuyển 6 vị trí, sàng lọc 180 CV</t>
  </si>
  <si>
    <t>Chủ động, đúng tiến độ</t>
  </si>
  <si>
    <t>Tuyển đủ 5 vị trí kinh doanh</t>
  </si>
  <si>
    <t>Time-to-hire không quá 30 ngày</t>
  </si>
  <si>
    <t>Tăng ngân sách đăng tin tuyển dụng</t>
  </si>
  <si>
    <t>Tăng số lượng CV chất lượng</t>
  </si>
  <si>
    <t>DANH MỤC DÙNG CHUNG (nguồn của các danh sách chọn và ngưỡng đánh giá)</t>
  </si>
  <si>
    <t>Ý nghĩa</t>
  </si>
  <si>
    <t>Chiều đạt KPI</t>
  </si>
  <si>
    <t>Loại điều chỉnh</t>
  </si>
  <si>
    <t>Vai trò - Marketing Content</t>
  </si>
  <si>
    <t>Vai trò - Tài chính Thu mua</t>
  </si>
  <si>
    <t>Vai trò - Program Event</t>
  </si>
  <si>
    <t>Vai trò - Nhân sự</t>
  </si>
  <si>
    <t>Hoàn thành</t>
  </si>
  <si>
    <t>Ảnh hưởng KPI, xong trong tuần</t>
  </si>
  <si>
    <t>Đang làm</t>
  </si>
  <si>
    <t>Xong trong 1-2 tuần</t>
  </si>
  <si>
    <t>Designer</t>
  </si>
  <si>
    <t>HRBP</t>
  </si>
  <si>
    <t>Đang vướng, cần hỗ trợ</t>
  </si>
  <si>
    <t>Thấp</t>
  </si>
  <si>
    <t>Có thể dời</t>
  </si>
  <si>
    <t>Video Editor</t>
  </si>
  <si>
    <t>Chờ xử lý</t>
  </si>
  <si>
    <t>Thu mua</t>
  </si>
  <si>
    <t>Kỹ thuật sân khấu</t>
  </si>
  <si>
    <t>L&amp;D</t>
  </si>
  <si>
    <t>Trễ hạn</t>
  </si>
  <si>
    <t>SEO Executive</t>
  </si>
  <si>
    <t>Thủ quỹ</t>
  </si>
  <si>
    <t>HR Admin</t>
  </si>
  <si>
    <t>Social Media</t>
  </si>
  <si>
    <t>NGƯỠNG ĐÁNH GIÁ (ô nền vàng, chữ xanh là giá trị có thể chỉnh)</t>
  </si>
  <si>
    <t>Tham số</t>
  </si>
  <si>
    <t>Giá trị</t>
  </si>
  <si>
    <t>KPI cao hơn là tốt: Cần chú ý khi %HT từ</t>
  </si>
  <si>
    <t>KPI thấp hơn là tốt: Cần chú ý khi %HT đến</t>
  </si>
  <si>
    <t>Xếp loại A khi điểm tổng từ</t>
  </si>
  <si>
    <t>Xếp loại B khi điểm tổng từ</t>
  </si>
  <si>
    <t>Xếp loại C khi điểm tổng từ</t>
  </si>
  <si>
    <t>Dưới ngưỡng C là xếp loại D. KPI cao hơn là tốt: %HT từ 100% là Đạt, dưới ngưỡng cần chú ý là Không đạt. KPI thấp hơn là tốt: %HT đến 100% là Đạt, vượt ngưỡng cần chú ý là Không đạt.</t>
  </si>
  <si>
    <t xml:space="preserve">Danh sách owner </t>
  </si>
  <si>
    <t xml:space="preserve">Cường </t>
  </si>
  <si>
    <t xml:space="preserve">Minh </t>
  </si>
  <si>
    <t xml:space="preserve">Hân </t>
  </si>
  <si>
    <t xml:space="preserve">Yến </t>
  </si>
  <si>
    <t xml:space="preserve">Hảo </t>
  </si>
  <si>
    <t xml:space="preserve">Ánh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</si>
</sst>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.##;\-#,##0.##;0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sz val="10"/>
      <color rgb="FF7F7F7F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rgb="FF1F3864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9" fontId="12" fillId="4" borderId="1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68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1D1D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E7E6E6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1D1D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E7E6E6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1D1D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E7E6E6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1D1D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E7E6E6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E7E6E6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7F1D1D"/>
      <rgbColor rgb="FF9C5700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C58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3" width="100" customWidth="1"/>
  </cols>
  <sheetData>
    <row r="1" spans="2:3" ht="30" customHeight="1" x14ac:dyDescent="0.3">
      <c r="B1" s="14" t="s">
        <v>0</v>
      </c>
      <c r="C1" s="14"/>
    </row>
    <row r="2" spans="2:3" ht="15" customHeight="1" x14ac:dyDescent="0.3">
      <c r="B2" s="13" t="s">
        <v>1</v>
      </c>
      <c r="C2" s="13"/>
    </row>
    <row r="4" spans="2:3" ht="15" customHeight="1" x14ac:dyDescent="0.3">
      <c r="B4" s="12" t="s">
        <v>2</v>
      </c>
      <c r="C4" s="12"/>
    </row>
    <row r="5" spans="2:3" x14ac:dyDescent="0.3">
      <c r="B5" s="15" t="s">
        <v>3</v>
      </c>
      <c r="C5" s="15" t="s">
        <v>4</v>
      </c>
    </row>
    <row r="6" spans="2:3" ht="19.5" customHeight="1" x14ac:dyDescent="0.3">
      <c r="B6" s="16" t="s">
        <v>5</v>
      </c>
      <c r="C6" s="17" t="s">
        <v>6</v>
      </c>
    </row>
    <row r="7" spans="2:3" ht="19.5" customHeight="1" x14ac:dyDescent="0.3">
      <c r="B7" s="16" t="s">
        <v>7</v>
      </c>
      <c r="C7" s="17" t="s">
        <v>8</v>
      </c>
    </row>
    <row r="8" spans="2:3" ht="19.5" customHeight="1" x14ac:dyDescent="0.3">
      <c r="B8" s="16" t="s">
        <v>9</v>
      </c>
      <c r="C8" s="17" t="s">
        <v>10</v>
      </c>
    </row>
    <row r="9" spans="2:3" ht="19.5" customHeight="1" x14ac:dyDescent="0.3">
      <c r="B9" s="16" t="s">
        <v>11</v>
      </c>
      <c r="C9" s="17" t="s">
        <v>12</v>
      </c>
    </row>
    <row r="10" spans="2:3" ht="19.5" customHeight="1" x14ac:dyDescent="0.3">
      <c r="B10" s="16" t="s">
        <v>13</v>
      </c>
      <c r="C10" s="17" t="s">
        <v>14</v>
      </c>
    </row>
    <row r="12" spans="2:3" ht="15" customHeight="1" x14ac:dyDescent="0.3">
      <c r="B12" s="12" t="s">
        <v>15</v>
      </c>
      <c r="C12" s="12"/>
    </row>
    <row r="13" spans="2:3" x14ac:dyDescent="0.3">
      <c r="B13" s="15" t="s">
        <v>16</v>
      </c>
      <c r="C13" s="15" t="s">
        <v>17</v>
      </c>
    </row>
    <row r="14" spans="2:3" ht="30" customHeight="1" x14ac:dyDescent="0.3">
      <c r="B14" s="16" t="s">
        <v>18</v>
      </c>
      <c r="C14" s="17" t="s">
        <v>19</v>
      </c>
    </row>
    <row r="15" spans="2:3" ht="30" customHeight="1" x14ac:dyDescent="0.3">
      <c r="B15" s="16" t="s">
        <v>20</v>
      </c>
      <c r="C15" s="17" t="s">
        <v>21</v>
      </c>
    </row>
    <row r="16" spans="2:3" ht="30" customHeight="1" x14ac:dyDescent="0.3">
      <c r="B16" s="16" t="s">
        <v>22</v>
      </c>
      <c r="C16" s="17" t="s">
        <v>23</v>
      </c>
    </row>
    <row r="17" spans="2:3" ht="30" customHeight="1" x14ac:dyDescent="0.3">
      <c r="B17" s="16" t="s">
        <v>24</v>
      </c>
      <c r="C17" s="17" t="s">
        <v>25</v>
      </c>
    </row>
    <row r="19" spans="2:3" ht="15" customHeight="1" x14ac:dyDescent="0.3">
      <c r="B19" s="12" t="s">
        <v>26</v>
      </c>
      <c r="C19" s="12"/>
    </row>
    <row r="20" spans="2:3" ht="30" customHeight="1" x14ac:dyDescent="0.3">
      <c r="B20" s="16" t="s">
        <v>27</v>
      </c>
      <c r="C20" s="17" t="s">
        <v>28</v>
      </c>
    </row>
    <row r="21" spans="2:3" ht="19.5" customHeight="1" x14ac:dyDescent="0.3">
      <c r="B21" s="16" t="s">
        <v>29</v>
      </c>
      <c r="C21" s="17" t="s">
        <v>30</v>
      </c>
    </row>
    <row r="22" spans="2:3" ht="30" customHeight="1" x14ac:dyDescent="0.3">
      <c r="B22" s="16" t="s">
        <v>31</v>
      </c>
      <c r="C22" s="17" t="s">
        <v>32</v>
      </c>
    </row>
    <row r="23" spans="2:3" ht="19.5" customHeight="1" x14ac:dyDescent="0.3">
      <c r="B23" s="16" t="s">
        <v>33</v>
      </c>
      <c r="C23" s="17" t="s">
        <v>34</v>
      </c>
    </row>
    <row r="24" spans="2:3" ht="19.5" customHeight="1" x14ac:dyDescent="0.3">
      <c r="B24" s="16" t="s">
        <v>35</v>
      </c>
      <c r="C24" s="17" t="s">
        <v>36</v>
      </c>
    </row>
    <row r="25" spans="2:3" ht="19.5" customHeight="1" x14ac:dyDescent="0.3">
      <c r="B25" s="16" t="s">
        <v>37</v>
      </c>
      <c r="C25" s="17" t="s">
        <v>38</v>
      </c>
    </row>
    <row r="27" spans="2:3" ht="15" customHeight="1" x14ac:dyDescent="0.3">
      <c r="B27" s="12" t="s">
        <v>39</v>
      </c>
      <c r="C27" s="12"/>
    </row>
    <row r="28" spans="2:3" ht="19.5" customHeight="1" x14ac:dyDescent="0.3">
      <c r="B28" s="18" t="s">
        <v>40</v>
      </c>
      <c r="C28" s="17" t="s">
        <v>41</v>
      </c>
    </row>
    <row r="29" spans="2:3" ht="19.5" customHeight="1" x14ac:dyDescent="0.3">
      <c r="B29" s="19" t="s">
        <v>42</v>
      </c>
      <c r="C29" s="17" t="s">
        <v>43</v>
      </c>
    </row>
    <row r="30" spans="2:3" ht="19.5" customHeight="1" x14ac:dyDescent="0.3">
      <c r="B30" s="16" t="s">
        <v>44</v>
      </c>
      <c r="C30" s="17" t="s">
        <v>45</v>
      </c>
    </row>
    <row r="31" spans="2:3" ht="19.5" customHeight="1" x14ac:dyDescent="0.3">
      <c r="B31" s="16" t="s">
        <v>46</v>
      </c>
      <c r="C31" s="17" t="s">
        <v>47</v>
      </c>
    </row>
    <row r="32" spans="2:3" ht="30" customHeight="1" x14ac:dyDescent="0.3">
      <c r="B32" s="16" t="s">
        <v>48</v>
      </c>
      <c r="C32" s="17" t="s">
        <v>49</v>
      </c>
    </row>
    <row r="33" spans="2:3" ht="19.5" customHeight="1" x14ac:dyDescent="0.3">
      <c r="B33" s="16" t="s">
        <v>50</v>
      </c>
      <c r="C33" s="17" t="s">
        <v>51</v>
      </c>
    </row>
    <row r="35" spans="2:3" ht="15" customHeight="1" x14ac:dyDescent="0.3">
      <c r="B35" s="12" t="s">
        <v>52</v>
      </c>
      <c r="C35" s="12"/>
    </row>
    <row r="36" spans="2:3" x14ac:dyDescent="0.3">
      <c r="B36" s="15" t="s">
        <v>53</v>
      </c>
      <c r="C36" s="15" t="s">
        <v>54</v>
      </c>
    </row>
    <row r="37" spans="2:3" ht="19.5" customHeight="1" x14ac:dyDescent="0.3">
      <c r="B37" s="16" t="s">
        <v>55</v>
      </c>
      <c r="C37" s="17" t="s">
        <v>56</v>
      </c>
    </row>
    <row r="38" spans="2:3" ht="19.5" customHeight="1" x14ac:dyDescent="0.3">
      <c r="B38" s="16" t="s">
        <v>57</v>
      </c>
      <c r="C38" s="17" t="s">
        <v>58</v>
      </c>
    </row>
    <row r="39" spans="2:3" ht="19.5" customHeight="1" x14ac:dyDescent="0.3">
      <c r="B39" s="16" t="s">
        <v>59</v>
      </c>
      <c r="C39" s="17" t="s">
        <v>60</v>
      </c>
    </row>
    <row r="40" spans="2:3" ht="19.5" customHeight="1" x14ac:dyDescent="0.3">
      <c r="B40" s="16" t="s">
        <v>61</v>
      </c>
      <c r="C40" s="17" t="s">
        <v>62</v>
      </c>
    </row>
    <row r="41" spans="2:3" ht="19.5" customHeight="1" x14ac:dyDescent="0.3">
      <c r="B41" s="16" t="s">
        <v>63</v>
      </c>
      <c r="C41" s="17" t="s">
        <v>64</v>
      </c>
    </row>
    <row r="42" spans="2:3" ht="19.5" customHeight="1" x14ac:dyDescent="0.3">
      <c r="B42" s="16" t="s">
        <v>65</v>
      </c>
      <c r="C42" s="17" t="s">
        <v>66</v>
      </c>
    </row>
    <row r="43" spans="2:3" ht="19.5" customHeight="1" x14ac:dyDescent="0.3">
      <c r="B43" s="16" t="s">
        <v>67</v>
      </c>
      <c r="C43" s="17" t="s">
        <v>68</v>
      </c>
    </row>
    <row r="44" spans="2:3" ht="19.5" customHeight="1" x14ac:dyDescent="0.3">
      <c r="B44" s="16" t="s">
        <v>69</v>
      </c>
      <c r="C44" s="17" t="s">
        <v>70</v>
      </c>
    </row>
    <row r="46" spans="2:3" ht="15" customHeight="1" x14ac:dyDescent="0.3">
      <c r="B46" s="12" t="s">
        <v>71</v>
      </c>
      <c r="C46" s="12"/>
    </row>
    <row r="47" spans="2:3" ht="19.5" customHeight="1" x14ac:dyDescent="0.3">
      <c r="B47" s="16" t="s">
        <v>72</v>
      </c>
      <c r="C47" s="17" t="s">
        <v>73</v>
      </c>
    </row>
    <row r="48" spans="2:3" ht="19.5" customHeight="1" x14ac:dyDescent="0.3">
      <c r="B48" s="16" t="s">
        <v>74</v>
      </c>
      <c r="C48" s="17" t="s">
        <v>75</v>
      </c>
    </row>
    <row r="49" spans="2:3" ht="19.5" customHeight="1" x14ac:dyDescent="0.3">
      <c r="B49" s="16" t="s">
        <v>76</v>
      </c>
      <c r="C49" s="17" t="s">
        <v>77</v>
      </c>
    </row>
    <row r="50" spans="2:3" ht="19.5" customHeight="1" x14ac:dyDescent="0.3">
      <c r="B50" s="16" t="s">
        <v>78</v>
      </c>
      <c r="C50" s="17" t="s">
        <v>79</v>
      </c>
    </row>
    <row r="51" spans="2:3" ht="19.5" customHeight="1" x14ac:dyDescent="0.3">
      <c r="B51" s="16" t="s">
        <v>80</v>
      </c>
      <c r="C51" s="17" t="s">
        <v>81</v>
      </c>
    </row>
    <row r="52" spans="2:3" ht="19.5" customHeight="1" x14ac:dyDescent="0.3">
      <c r="B52" s="16" t="s">
        <v>82</v>
      </c>
      <c r="C52" s="17" t="s">
        <v>83</v>
      </c>
    </row>
    <row r="53" spans="2:3" ht="19.5" customHeight="1" x14ac:dyDescent="0.3">
      <c r="B53" s="16" t="s">
        <v>84</v>
      </c>
      <c r="C53" s="17" t="s">
        <v>85</v>
      </c>
    </row>
    <row r="55" spans="2:3" ht="15" customHeight="1" x14ac:dyDescent="0.3">
      <c r="B55" s="12" t="s">
        <v>86</v>
      </c>
      <c r="C55" s="12"/>
    </row>
    <row r="56" spans="2:3" ht="19.5" customHeight="1" x14ac:dyDescent="0.3">
      <c r="B56" s="16" t="s">
        <v>87</v>
      </c>
      <c r="C56" s="17" t="s">
        <v>88</v>
      </c>
    </row>
    <row r="57" spans="2:3" ht="19.5" customHeight="1" x14ac:dyDescent="0.3">
      <c r="B57" s="16" t="s">
        <v>89</v>
      </c>
      <c r="C57" s="17" t="s">
        <v>90</v>
      </c>
    </row>
    <row r="58" spans="2:3" ht="19.5" customHeight="1" x14ac:dyDescent="0.3">
      <c r="B58" s="16" t="s">
        <v>91</v>
      </c>
      <c r="C58" s="17" t="s">
        <v>92</v>
      </c>
    </row>
  </sheetData>
  <mergeCells count="9">
    <mergeCell ref="B27:C27"/>
    <mergeCell ref="B35:C35"/>
    <mergeCell ref="B46:C46"/>
    <mergeCell ref="B55:C55"/>
    <mergeCell ref="B1:C1"/>
    <mergeCell ref="B2:C2"/>
    <mergeCell ref="B4:C4"/>
    <mergeCell ref="B12:C12"/>
    <mergeCell ref="B19:C1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J80"/>
  <sheetViews>
    <sheetView showGridLines="0" zoomScaleNormal="100" workbookViewId="0">
      <pane ySplit="2" topLeftCell="A11" activePane="bottomLeft" state="frozen"/>
      <selection pane="bottomLeft" activeCell="D16" sqref="D16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93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97</v>
      </c>
      <c r="D5" s="9"/>
      <c r="E5" s="8" t="s">
        <v>98</v>
      </c>
      <c r="F5" s="8"/>
      <c r="G5" s="9">
        <v>41</v>
      </c>
      <c r="H5" s="9"/>
    </row>
    <row r="6" spans="1:10" ht="19.5" customHeight="1" x14ac:dyDescent="0.3">
      <c r="B6" s="20" t="s">
        <v>99</v>
      </c>
      <c r="C6" s="7">
        <v>46300</v>
      </c>
      <c r="D6" s="7"/>
      <c r="E6" s="8" t="s">
        <v>100</v>
      </c>
      <c r="F6" s="8"/>
      <c r="G6" s="6">
        <f>C6+6</f>
        <v>46306</v>
      </c>
      <c r="H6" s="6"/>
    </row>
    <row r="7" spans="1:10" ht="19.5" customHeight="1" x14ac:dyDescent="0.3">
      <c r="B7" s="20" t="s">
        <v>101</v>
      </c>
      <c r="C7" s="9"/>
      <c r="D7" s="9"/>
      <c r="E7" s="8" t="s">
        <v>102</v>
      </c>
      <c r="F7" s="8"/>
      <c r="G7" s="9"/>
      <c r="H7" s="9"/>
    </row>
    <row r="8" spans="1:10" ht="19.5" customHeight="1" x14ac:dyDescent="0.3">
      <c r="B8" s="20" t="s">
        <v>103</v>
      </c>
      <c r="C8" s="9" t="s">
        <v>63</v>
      </c>
      <c r="D8" s="9"/>
      <c r="E8" s="8" t="s">
        <v>104</v>
      </c>
      <c r="F8" s="8"/>
      <c r="G8" s="9"/>
      <c r="H8" s="9"/>
    </row>
    <row r="10" spans="1:10" ht="19.5" customHeight="1" x14ac:dyDescent="0.3">
      <c r="A10" s="12" t="s">
        <v>105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30" customHeight="1" x14ac:dyDescent="0.3">
      <c r="B11" s="15" t="s">
        <v>106</v>
      </c>
      <c r="C11" s="15" t="s">
        <v>107</v>
      </c>
      <c r="D11" s="15" t="s">
        <v>108</v>
      </c>
      <c r="E11" s="15" t="s">
        <v>109</v>
      </c>
      <c r="F11" s="15" t="s">
        <v>110</v>
      </c>
      <c r="G11" s="15" t="s">
        <v>111</v>
      </c>
      <c r="H11" s="15" t="s">
        <v>112</v>
      </c>
      <c r="I11" s="5" t="s">
        <v>113</v>
      </c>
      <c r="J11" s="5"/>
    </row>
    <row r="12" spans="1:10" ht="21.75" customHeight="1" x14ac:dyDescent="0.3">
      <c r="B12" s="21">
        <f>COUNTA(B16:B30)</f>
        <v>1</v>
      </c>
      <c r="C12" s="22">
        <f>COUNTIF(F16:F30,"Done")</f>
        <v>1</v>
      </c>
      <c r="D12" s="22">
        <f>COUNTIF(F16:F30,"In Progress")</f>
        <v>0</v>
      </c>
      <c r="E12" s="22">
        <f>COUNTIF(F16:F30,"Blocked")</f>
        <v>0</v>
      </c>
      <c r="F12" s="22">
        <f>COUNTIF(F16:F30,"Pending")</f>
        <v>0</v>
      </c>
      <c r="G12" s="22">
        <f>COUNTIF(F16:F30,"Overdue")</f>
        <v>0</v>
      </c>
      <c r="H12" s="23">
        <f>IFERROR(AVERAGE(G16:G30),"")</f>
        <v>1</v>
      </c>
      <c r="I12" s="4">
        <f>IFERROR(C12/B12,"")</f>
        <v>1</v>
      </c>
      <c r="J12" s="4"/>
    </row>
    <row r="14" spans="1:10" ht="19.5" customHeight="1" x14ac:dyDescent="0.3">
      <c r="A14" s="12" t="s">
        <v>114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33.75" customHeight="1" x14ac:dyDescent="0.3">
      <c r="A15" s="15" t="s">
        <v>115</v>
      </c>
      <c r="B15" s="15" t="s">
        <v>74</v>
      </c>
      <c r="C15" s="15" t="s">
        <v>116</v>
      </c>
      <c r="D15" s="15" t="s">
        <v>117</v>
      </c>
      <c r="E15" s="15" t="s">
        <v>118</v>
      </c>
      <c r="F15" s="15" t="s">
        <v>50</v>
      </c>
      <c r="G15" s="15" t="s">
        <v>119</v>
      </c>
      <c r="H15" s="5" t="s">
        <v>120</v>
      </c>
      <c r="I15" s="5"/>
      <c r="J15" s="5"/>
    </row>
    <row r="16" spans="1:10" ht="30" customHeight="1" x14ac:dyDescent="0.3">
      <c r="A16" s="24">
        <v>1</v>
      </c>
      <c r="B16" s="17" t="s">
        <v>121</v>
      </c>
      <c r="C16" s="25" t="s">
        <v>122</v>
      </c>
      <c r="D16" s="17" t="s">
        <v>123</v>
      </c>
      <c r="E16" s="26">
        <v>46304</v>
      </c>
      <c r="F16" s="25" t="s">
        <v>107</v>
      </c>
      <c r="G16" s="27">
        <v>1</v>
      </c>
      <c r="H16" s="3" t="s">
        <v>124</v>
      </c>
      <c r="I16" s="3"/>
      <c r="J16" s="3"/>
    </row>
    <row r="17" spans="1:10" ht="30" customHeight="1" x14ac:dyDescent="0.3">
      <c r="A17" s="24">
        <v>2</v>
      </c>
      <c r="B17" s="17"/>
      <c r="C17" s="25"/>
      <c r="D17" s="17"/>
      <c r="E17" s="26"/>
      <c r="F17" s="25"/>
      <c r="G17" s="27"/>
      <c r="H17" s="3"/>
      <c r="I17" s="3"/>
      <c r="J17" s="3"/>
    </row>
    <row r="18" spans="1:10" ht="30" customHeight="1" x14ac:dyDescent="0.3">
      <c r="A18" s="24">
        <v>3</v>
      </c>
      <c r="B18" s="17"/>
      <c r="C18" s="25"/>
      <c r="D18" s="17"/>
      <c r="E18" s="26"/>
      <c r="F18" s="25"/>
      <c r="G18" s="27"/>
      <c r="H18" s="3"/>
      <c r="I18" s="3"/>
      <c r="J18" s="3"/>
    </row>
    <row r="19" spans="1:10" ht="30" customHeight="1" x14ac:dyDescent="0.3">
      <c r="A19" s="24">
        <v>4</v>
      </c>
      <c r="B19" s="17"/>
      <c r="C19" s="25"/>
      <c r="D19" s="17"/>
      <c r="E19" s="26"/>
      <c r="F19" s="25"/>
      <c r="G19" s="27"/>
      <c r="H19" s="3"/>
      <c r="I19" s="3"/>
      <c r="J19" s="3"/>
    </row>
    <row r="20" spans="1:10" ht="30" customHeight="1" x14ac:dyDescent="0.3">
      <c r="A20" s="24">
        <v>5</v>
      </c>
      <c r="B20" s="17"/>
      <c r="C20" s="25"/>
      <c r="D20" s="17"/>
      <c r="E20" s="26"/>
      <c r="F20" s="25"/>
      <c r="G20" s="27"/>
      <c r="H20" s="3"/>
      <c r="I20" s="3"/>
      <c r="J20" s="3"/>
    </row>
    <row r="21" spans="1:10" ht="30" customHeight="1" x14ac:dyDescent="0.3">
      <c r="A21" s="24">
        <v>6</v>
      </c>
      <c r="B21" s="17"/>
      <c r="C21" s="25"/>
      <c r="D21" s="17"/>
      <c r="E21" s="26"/>
      <c r="F21" s="25"/>
      <c r="G21" s="27"/>
      <c r="H21" s="3"/>
      <c r="I21" s="3"/>
      <c r="J21" s="3"/>
    </row>
    <row r="22" spans="1:10" ht="30" customHeight="1" x14ac:dyDescent="0.3">
      <c r="A22" s="24">
        <v>7</v>
      </c>
      <c r="B22" s="17"/>
      <c r="C22" s="25"/>
      <c r="D22" s="17"/>
      <c r="E22" s="26"/>
      <c r="F22" s="25"/>
      <c r="G22" s="27"/>
      <c r="H22" s="3"/>
      <c r="I22" s="3"/>
      <c r="J22" s="3"/>
    </row>
    <row r="23" spans="1:10" ht="30" customHeight="1" x14ac:dyDescent="0.3">
      <c r="A23" s="24">
        <v>8</v>
      </c>
      <c r="B23" s="17"/>
      <c r="C23" s="25"/>
      <c r="D23" s="17"/>
      <c r="E23" s="26"/>
      <c r="F23" s="25"/>
      <c r="G23" s="27"/>
      <c r="H23" s="3"/>
      <c r="I23" s="3"/>
      <c r="J23" s="3"/>
    </row>
    <row r="24" spans="1:10" ht="30" customHeight="1" x14ac:dyDescent="0.3">
      <c r="A24" s="24">
        <v>9</v>
      </c>
      <c r="B24" s="17"/>
      <c r="C24" s="25"/>
      <c r="D24" s="17"/>
      <c r="E24" s="26"/>
      <c r="F24" s="25"/>
      <c r="G24" s="27"/>
      <c r="H24" s="3"/>
      <c r="I24" s="3"/>
      <c r="J24" s="3"/>
    </row>
    <row r="25" spans="1:10" ht="30" customHeight="1" x14ac:dyDescent="0.3">
      <c r="A25" s="24">
        <v>10</v>
      </c>
      <c r="B25" s="17"/>
      <c r="C25" s="25"/>
      <c r="D25" s="17"/>
      <c r="E25" s="26"/>
      <c r="F25" s="25"/>
      <c r="G25" s="27"/>
      <c r="H25" s="3"/>
      <c r="I25" s="3"/>
      <c r="J25" s="3"/>
    </row>
    <row r="26" spans="1:10" ht="30" customHeight="1" x14ac:dyDescent="0.3">
      <c r="A26" s="24">
        <v>11</v>
      </c>
      <c r="B26" s="17"/>
      <c r="C26" s="25"/>
      <c r="D26" s="17"/>
      <c r="E26" s="26"/>
      <c r="F26" s="25"/>
      <c r="G26" s="27"/>
      <c r="H26" s="3"/>
      <c r="I26" s="3"/>
      <c r="J26" s="3"/>
    </row>
    <row r="27" spans="1:10" ht="30" customHeight="1" x14ac:dyDescent="0.3">
      <c r="A27" s="24">
        <v>12</v>
      </c>
      <c r="B27" s="17"/>
      <c r="C27" s="25"/>
      <c r="D27" s="17"/>
      <c r="E27" s="26"/>
      <c r="F27" s="25"/>
      <c r="G27" s="27"/>
      <c r="H27" s="3"/>
      <c r="I27" s="3"/>
      <c r="J27" s="3"/>
    </row>
    <row r="28" spans="1:10" ht="30" customHeight="1" x14ac:dyDescent="0.3">
      <c r="A28" s="24">
        <v>13</v>
      </c>
      <c r="B28" s="17"/>
      <c r="C28" s="25"/>
      <c r="D28" s="17"/>
      <c r="E28" s="26"/>
      <c r="F28" s="25"/>
      <c r="G28" s="27"/>
      <c r="H28" s="3"/>
      <c r="I28" s="3"/>
      <c r="J28" s="3"/>
    </row>
    <row r="29" spans="1:10" ht="30" customHeight="1" x14ac:dyDescent="0.3">
      <c r="A29" s="24">
        <v>14</v>
      </c>
      <c r="B29" s="17"/>
      <c r="C29" s="25"/>
      <c r="D29" s="17"/>
      <c r="E29" s="26"/>
      <c r="F29" s="25"/>
      <c r="G29" s="27"/>
      <c r="H29" s="3"/>
      <c r="I29" s="3"/>
      <c r="J29" s="3"/>
    </row>
    <row r="30" spans="1:10" ht="30" customHeight="1" x14ac:dyDescent="0.3">
      <c r="A30" s="24">
        <v>15</v>
      </c>
      <c r="B30" s="17"/>
      <c r="C30" s="25"/>
      <c r="D30" s="17"/>
      <c r="E30" s="26"/>
      <c r="F30" s="25"/>
      <c r="G30" s="27"/>
      <c r="H30" s="3"/>
      <c r="I30" s="3"/>
      <c r="J30" s="3"/>
    </row>
    <row r="31" spans="1:10" ht="15" customHeight="1" x14ac:dyDescent="0.3">
      <c r="B31" s="10" t="s">
        <v>125</v>
      </c>
      <c r="C31" s="10"/>
      <c r="D31" s="10"/>
      <c r="E31" s="10"/>
      <c r="F31" s="10"/>
      <c r="G31" s="10"/>
      <c r="H31" s="10"/>
      <c r="I31" s="10"/>
      <c r="J31" s="10"/>
    </row>
    <row r="33" spans="1:10" ht="19.5" customHeight="1" x14ac:dyDescent="0.3">
      <c r="A33" s="12" t="s">
        <v>126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33.75" customHeight="1" x14ac:dyDescent="0.3">
      <c r="A34" s="15" t="s">
        <v>115</v>
      </c>
      <c r="B34" s="15" t="s">
        <v>74</v>
      </c>
      <c r="C34" s="15" t="s">
        <v>127</v>
      </c>
      <c r="D34" s="15" t="s">
        <v>128</v>
      </c>
      <c r="E34" s="5" t="s">
        <v>129</v>
      </c>
      <c r="F34" s="5"/>
      <c r="G34" s="5" t="s">
        <v>130</v>
      </c>
      <c r="H34" s="5"/>
      <c r="I34" s="5" t="s">
        <v>131</v>
      </c>
      <c r="J34" s="5"/>
    </row>
    <row r="35" spans="1:10" ht="27.75" customHeight="1" x14ac:dyDescent="0.3">
      <c r="A35" s="24">
        <v>1</v>
      </c>
      <c r="B35" s="17" t="s">
        <v>132</v>
      </c>
      <c r="C35" s="17" t="s">
        <v>122</v>
      </c>
      <c r="D35" s="17" t="s">
        <v>133</v>
      </c>
      <c r="E35" s="3" t="s">
        <v>134</v>
      </c>
      <c r="F35" s="3"/>
      <c r="G35" s="3" t="s">
        <v>135</v>
      </c>
      <c r="H35" s="3"/>
      <c r="I35" s="3"/>
      <c r="J35" s="3"/>
    </row>
    <row r="36" spans="1:10" ht="27.75" customHeight="1" x14ac:dyDescent="0.3">
      <c r="A36" s="24">
        <v>2</v>
      </c>
      <c r="B36" s="17"/>
      <c r="C36" s="17"/>
      <c r="D36" s="17"/>
      <c r="E36" s="3"/>
      <c r="F36" s="3"/>
      <c r="G36" s="3"/>
      <c r="H36" s="3"/>
      <c r="I36" s="3"/>
      <c r="J36" s="3"/>
    </row>
    <row r="37" spans="1:10" ht="27.75" customHeight="1" x14ac:dyDescent="0.3">
      <c r="A37" s="24">
        <v>3</v>
      </c>
      <c r="B37" s="17"/>
      <c r="C37" s="17"/>
      <c r="D37" s="17"/>
      <c r="E37" s="3"/>
      <c r="F37" s="3"/>
      <c r="G37" s="3"/>
      <c r="H37" s="3"/>
      <c r="I37" s="3"/>
      <c r="J37" s="3"/>
    </row>
    <row r="38" spans="1:10" ht="27.75" customHeight="1" x14ac:dyDescent="0.3">
      <c r="A38" s="24">
        <v>4</v>
      </c>
      <c r="B38" s="17"/>
      <c r="C38" s="17"/>
      <c r="D38" s="17"/>
      <c r="E38" s="3"/>
      <c r="F38" s="3"/>
      <c r="G38" s="3"/>
      <c r="H38" s="3"/>
      <c r="I38" s="3"/>
      <c r="J38" s="3"/>
    </row>
    <row r="39" spans="1:10" ht="27.75" customHeight="1" x14ac:dyDescent="0.3">
      <c r="A39" s="24">
        <v>5</v>
      </c>
      <c r="B39" s="17"/>
      <c r="C39" s="17"/>
      <c r="D39" s="17"/>
      <c r="E39" s="3"/>
      <c r="F39" s="3"/>
      <c r="G39" s="3"/>
      <c r="H39" s="3"/>
      <c r="I39" s="3"/>
      <c r="J39" s="3"/>
    </row>
    <row r="40" spans="1:10" ht="27.75" customHeight="1" x14ac:dyDescent="0.3">
      <c r="A40" s="24">
        <v>6</v>
      </c>
      <c r="B40" s="17"/>
      <c r="C40" s="17"/>
      <c r="D40" s="17"/>
      <c r="E40" s="3"/>
      <c r="F40" s="3"/>
      <c r="G40" s="3"/>
      <c r="H40" s="3"/>
      <c r="I40" s="3"/>
      <c r="J40" s="3"/>
    </row>
    <row r="41" spans="1:10" ht="15" customHeight="1" x14ac:dyDescent="0.3">
      <c r="B41" s="10" t="s">
        <v>136</v>
      </c>
      <c r="C41" s="10"/>
      <c r="D41" s="10"/>
      <c r="E41" s="10"/>
      <c r="F41" s="10"/>
      <c r="G41" s="10"/>
      <c r="H41" s="10"/>
      <c r="I41" s="10"/>
      <c r="J41" s="10"/>
    </row>
    <row r="43" spans="1:10" ht="19.5" customHeight="1" x14ac:dyDescent="0.3">
      <c r="A43" s="12" t="s">
        <v>137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33.75" customHeight="1" x14ac:dyDescent="0.3">
      <c r="A44" s="15" t="s">
        <v>115</v>
      </c>
      <c r="B44" s="15" t="s">
        <v>138</v>
      </c>
      <c r="C44" s="15" t="s">
        <v>117</v>
      </c>
      <c r="D44" s="15" t="s">
        <v>139</v>
      </c>
      <c r="E44" s="15" t="s">
        <v>140</v>
      </c>
      <c r="F44" s="5" t="s">
        <v>141</v>
      </c>
      <c r="G44" s="5"/>
      <c r="H44" s="5" t="s">
        <v>142</v>
      </c>
      <c r="I44" s="5"/>
      <c r="J44" s="5"/>
    </row>
    <row r="45" spans="1:10" ht="30" customHeight="1" x14ac:dyDescent="0.3">
      <c r="A45" s="24">
        <v>1</v>
      </c>
      <c r="B45" s="17" t="s">
        <v>143</v>
      </c>
      <c r="C45" s="17" t="s">
        <v>144</v>
      </c>
      <c r="D45" s="25" t="s">
        <v>145</v>
      </c>
      <c r="E45" s="26">
        <v>46309</v>
      </c>
      <c r="F45" s="3" t="s">
        <v>146</v>
      </c>
      <c r="G45" s="3"/>
      <c r="H45" s="3" t="s">
        <v>147</v>
      </c>
      <c r="I45" s="3"/>
      <c r="J45" s="3"/>
    </row>
    <row r="46" spans="1:10" ht="30" customHeight="1" x14ac:dyDescent="0.3">
      <c r="A46" s="24">
        <v>2</v>
      </c>
      <c r="B46" s="17"/>
      <c r="C46" s="17"/>
      <c r="D46" s="25"/>
      <c r="E46" s="26"/>
      <c r="F46" s="3"/>
      <c r="G46" s="3"/>
      <c r="H46" s="3"/>
      <c r="I46" s="3"/>
      <c r="J46" s="3"/>
    </row>
    <row r="47" spans="1:10" ht="30" customHeight="1" x14ac:dyDescent="0.3">
      <c r="A47" s="24">
        <v>3</v>
      </c>
      <c r="B47" s="17"/>
      <c r="C47" s="17"/>
      <c r="D47" s="25"/>
      <c r="E47" s="26"/>
      <c r="F47" s="3"/>
      <c r="G47" s="3"/>
      <c r="H47" s="3"/>
      <c r="I47" s="3"/>
      <c r="J47" s="3"/>
    </row>
    <row r="48" spans="1:10" ht="30" customHeight="1" x14ac:dyDescent="0.3">
      <c r="A48" s="24">
        <v>4</v>
      </c>
      <c r="B48" s="17"/>
      <c r="C48" s="17"/>
      <c r="D48" s="25"/>
      <c r="E48" s="26"/>
      <c r="F48" s="3"/>
      <c r="G48" s="3"/>
      <c r="H48" s="3"/>
      <c r="I48" s="3"/>
      <c r="J48" s="3"/>
    </row>
    <row r="49" spans="1:10" ht="30" customHeight="1" x14ac:dyDescent="0.3">
      <c r="A49" s="24">
        <v>5</v>
      </c>
      <c r="B49" s="17"/>
      <c r="C49" s="17"/>
      <c r="D49" s="25"/>
      <c r="E49" s="26"/>
      <c r="F49" s="3"/>
      <c r="G49" s="3"/>
      <c r="H49" s="3"/>
      <c r="I49" s="3"/>
      <c r="J49" s="3"/>
    </row>
    <row r="50" spans="1:10" ht="30" customHeight="1" x14ac:dyDescent="0.3">
      <c r="A50" s="24">
        <v>6</v>
      </c>
      <c r="B50" s="17"/>
      <c r="C50" s="17"/>
      <c r="D50" s="25"/>
      <c r="E50" s="26"/>
      <c r="F50" s="3"/>
      <c r="G50" s="3"/>
      <c r="H50" s="3"/>
      <c r="I50" s="3"/>
      <c r="J50" s="3"/>
    </row>
    <row r="51" spans="1:10" ht="15" customHeight="1" x14ac:dyDescent="0.3">
      <c r="B51" s="10" t="s">
        <v>148</v>
      </c>
      <c r="C51" s="10"/>
      <c r="D51" s="10"/>
      <c r="E51" s="10"/>
      <c r="F51" s="10"/>
      <c r="G51" s="10"/>
      <c r="H51" s="10"/>
      <c r="I51" s="10"/>
      <c r="J51" s="10"/>
    </row>
    <row r="53" spans="1:10" ht="19.5" customHeight="1" x14ac:dyDescent="0.3">
      <c r="A53" s="12" t="s">
        <v>149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33.75" customHeight="1" x14ac:dyDescent="0.3">
      <c r="A54" s="15" t="s">
        <v>115</v>
      </c>
      <c r="B54" s="15" t="s">
        <v>74</v>
      </c>
      <c r="C54" s="15" t="s">
        <v>117</v>
      </c>
      <c r="D54" s="15" t="s">
        <v>118</v>
      </c>
      <c r="E54" s="15" t="s">
        <v>139</v>
      </c>
      <c r="F54" s="5" t="s">
        <v>150</v>
      </c>
      <c r="G54" s="5"/>
      <c r="H54" s="5"/>
      <c r="I54" s="5"/>
      <c r="J54" s="5"/>
    </row>
    <row r="55" spans="1:10" ht="30" customHeight="1" x14ac:dyDescent="0.3">
      <c r="A55" s="24">
        <v>1</v>
      </c>
      <c r="B55" s="17" t="s">
        <v>151</v>
      </c>
      <c r="C55" s="17" t="s">
        <v>144</v>
      </c>
      <c r="D55" s="26">
        <v>46313</v>
      </c>
      <c r="E55" s="25" t="s">
        <v>145</v>
      </c>
      <c r="F55" s="3" t="s">
        <v>152</v>
      </c>
      <c r="G55" s="3"/>
      <c r="H55" s="3"/>
      <c r="I55" s="3"/>
      <c r="J55" s="3"/>
    </row>
    <row r="56" spans="1:10" ht="30" customHeight="1" x14ac:dyDescent="0.3">
      <c r="A56" s="24">
        <v>2</v>
      </c>
      <c r="B56" s="17"/>
      <c r="C56" s="17"/>
      <c r="D56" s="26"/>
      <c r="E56" s="25"/>
      <c r="F56" s="3"/>
      <c r="G56" s="3"/>
      <c r="H56" s="3"/>
      <c r="I56" s="3"/>
      <c r="J56" s="3"/>
    </row>
    <row r="57" spans="1:10" ht="30" customHeight="1" x14ac:dyDescent="0.3">
      <c r="A57" s="24">
        <v>3</v>
      </c>
      <c r="B57" s="17"/>
      <c r="C57" s="17"/>
      <c r="D57" s="26"/>
      <c r="E57" s="25"/>
      <c r="F57" s="3"/>
      <c r="G57" s="3"/>
      <c r="H57" s="3"/>
      <c r="I57" s="3"/>
      <c r="J57" s="3"/>
    </row>
    <row r="58" spans="1:10" ht="30" customHeight="1" x14ac:dyDescent="0.3">
      <c r="A58" s="24">
        <v>4</v>
      </c>
      <c r="B58" s="17"/>
      <c r="C58" s="17"/>
      <c r="D58" s="26"/>
      <c r="E58" s="25"/>
      <c r="F58" s="3"/>
      <c r="G58" s="3"/>
      <c r="H58" s="3"/>
      <c r="I58" s="3"/>
      <c r="J58" s="3"/>
    </row>
    <row r="59" spans="1:10" ht="30" customHeight="1" x14ac:dyDescent="0.3">
      <c r="A59" s="24">
        <v>5</v>
      </c>
      <c r="B59" s="17"/>
      <c r="C59" s="17"/>
      <c r="D59" s="26"/>
      <c r="E59" s="25"/>
      <c r="F59" s="3"/>
      <c r="G59" s="3"/>
      <c r="H59" s="3"/>
      <c r="I59" s="3"/>
      <c r="J59" s="3"/>
    </row>
    <row r="60" spans="1:10" ht="30" customHeight="1" x14ac:dyDescent="0.3">
      <c r="A60" s="24">
        <v>6</v>
      </c>
      <c r="B60" s="17"/>
      <c r="C60" s="17"/>
      <c r="D60" s="26"/>
      <c r="E60" s="25"/>
      <c r="F60" s="3"/>
      <c r="G60" s="3"/>
      <c r="H60" s="3"/>
      <c r="I60" s="3"/>
      <c r="J60" s="3"/>
    </row>
    <row r="62" spans="1:10" ht="19.5" customHeight="1" x14ac:dyDescent="0.3">
      <c r="A62" s="12" t="s">
        <v>153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33.75" customHeight="1" x14ac:dyDescent="0.3">
      <c r="A63" s="15" t="s">
        <v>115</v>
      </c>
      <c r="B63" s="15" t="s">
        <v>154</v>
      </c>
      <c r="C63" s="5" t="s">
        <v>155</v>
      </c>
      <c r="D63" s="5"/>
      <c r="E63" s="5" t="s">
        <v>82</v>
      </c>
      <c r="F63" s="5"/>
      <c r="G63" s="5"/>
      <c r="H63" s="5" t="s">
        <v>156</v>
      </c>
      <c r="I63" s="5"/>
      <c r="J63" s="15" t="s">
        <v>157</v>
      </c>
    </row>
    <row r="64" spans="1:10" ht="30" customHeight="1" x14ac:dyDescent="0.3">
      <c r="A64" s="24">
        <v>1</v>
      </c>
      <c r="B64" s="17" t="s">
        <v>158</v>
      </c>
      <c r="C64" s="3" t="s">
        <v>159</v>
      </c>
      <c r="D64" s="3"/>
      <c r="E64" s="3" t="s">
        <v>160</v>
      </c>
      <c r="F64" s="3"/>
      <c r="G64" s="3"/>
      <c r="H64" s="3" t="s">
        <v>161</v>
      </c>
      <c r="I64" s="3"/>
      <c r="J64" s="26">
        <v>46309</v>
      </c>
    </row>
    <row r="65" spans="1:10" ht="30" customHeight="1" x14ac:dyDescent="0.3">
      <c r="A65" s="24">
        <v>2</v>
      </c>
      <c r="B65" s="17"/>
      <c r="C65" s="3"/>
      <c r="D65" s="3"/>
      <c r="E65" s="3"/>
      <c r="F65" s="3"/>
      <c r="G65" s="3"/>
      <c r="H65" s="3"/>
      <c r="I65" s="3"/>
      <c r="J65" s="26"/>
    </row>
    <row r="66" spans="1:10" ht="30" customHeight="1" x14ac:dyDescent="0.3">
      <c r="A66" s="24">
        <v>3</v>
      </c>
      <c r="B66" s="17"/>
      <c r="C66" s="3"/>
      <c r="D66" s="3"/>
      <c r="E66" s="3"/>
      <c r="F66" s="3"/>
      <c r="G66" s="3"/>
      <c r="H66" s="3"/>
      <c r="I66" s="3"/>
      <c r="J66" s="26"/>
    </row>
    <row r="67" spans="1:10" ht="30" customHeight="1" x14ac:dyDescent="0.3">
      <c r="A67" s="24">
        <v>4</v>
      </c>
      <c r="B67" s="17"/>
      <c r="C67" s="3"/>
      <c r="D67" s="3"/>
      <c r="E67" s="3"/>
      <c r="F67" s="3"/>
      <c r="G67" s="3"/>
      <c r="H67" s="3"/>
      <c r="I67" s="3"/>
      <c r="J67" s="26"/>
    </row>
    <row r="68" spans="1:10" ht="30" customHeight="1" x14ac:dyDescent="0.3">
      <c r="A68" s="24">
        <v>5</v>
      </c>
      <c r="B68" s="17"/>
      <c r="C68" s="3"/>
      <c r="D68" s="3"/>
      <c r="E68" s="3"/>
      <c r="F68" s="3"/>
      <c r="G68" s="3"/>
      <c r="H68" s="3"/>
      <c r="I68" s="3"/>
      <c r="J68" s="26"/>
    </row>
    <row r="70" spans="1:10" ht="19.5" customHeight="1" x14ac:dyDescent="0.3">
      <c r="A70" s="12" t="s">
        <v>162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33.75" customHeight="1" x14ac:dyDescent="0.3">
      <c r="A71" s="15" t="s">
        <v>115</v>
      </c>
      <c r="B71" s="15" t="s">
        <v>78</v>
      </c>
      <c r="C71" s="15" t="s">
        <v>163</v>
      </c>
      <c r="D71" s="15" t="s">
        <v>164</v>
      </c>
      <c r="E71" s="15" t="s">
        <v>165</v>
      </c>
      <c r="F71" s="15" t="s">
        <v>166</v>
      </c>
      <c r="G71" s="15" t="s">
        <v>119</v>
      </c>
      <c r="H71" s="15" t="s">
        <v>167</v>
      </c>
      <c r="I71" s="5" t="s">
        <v>131</v>
      </c>
      <c r="J71" s="5"/>
    </row>
    <row r="72" spans="1:10" ht="30" customHeight="1" x14ac:dyDescent="0.3">
      <c r="A72" s="24">
        <v>1</v>
      </c>
      <c r="B72" s="17" t="s">
        <v>168</v>
      </c>
      <c r="C72" s="17" t="s">
        <v>169</v>
      </c>
      <c r="D72" s="25" t="s">
        <v>170</v>
      </c>
      <c r="E72" s="25">
        <v>8</v>
      </c>
      <c r="F72" s="25">
        <v>8</v>
      </c>
      <c r="G72" s="28">
        <f t="shared" ref="G72:G79" si="0">IF(OR(E72="",F72=""),"",IF(E72=0,"",F72/E72))</f>
        <v>1</v>
      </c>
      <c r="H72" s="22" t="str">
        <f>IF(G72="","",IF(D72="Thấp hơn là tốt",IF(G72&lt;=1,"Đạt",IF(G72&lt;='Danh mục'!$B$18,"Cần chú ý","Không đạt")),IF(G72&gt;=1,"Đạt",IF(G72&gt;='Danh mục'!$B$17,"Cần chú ý","Không đạt"))))</f>
        <v>Đạt</v>
      </c>
      <c r="I72" s="3"/>
      <c r="J72" s="3"/>
    </row>
    <row r="73" spans="1:10" ht="30" customHeight="1" x14ac:dyDescent="0.3">
      <c r="A73" s="24">
        <v>2</v>
      </c>
      <c r="B73" s="17" t="s">
        <v>171</v>
      </c>
      <c r="C73" s="17" t="s">
        <v>172</v>
      </c>
      <c r="D73" s="25" t="s">
        <v>170</v>
      </c>
      <c r="E73" s="25"/>
      <c r="F73" s="25"/>
      <c r="G73" s="28" t="str">
        <f t="shared" si="0"/>
        <v/>
      </c>
      <c r="H73" s="22" t="str">
        <f>IF(G73="","",IF(D73="Thấp hơn là tốt",IF(G73&lt;=1,"Đạt",IF(G73&lt;='Danh mục'!$B$18,"Cần chú ý","Không đạt")),IF(G73&gt;=1,"Đạt",IF(G73&gt;='Danh mục'!$B$17,"Cần chú ý","Không đạt"))))</f>
        <v/>
      </c>
      <c r="I73" s="3"/>
      <c r="J73" s="3"/>
    </row>
    <row r="74" spans="1:10" ht="30" customHeight="1" x14ac:dyDescent="0.3">
      <c r="A74" s="24">
        <v>3</v>
      </c>
      <c r="B74" s="17" t="s">
        <v>173</v>
      </c>
      <c r="C74" s="17" t="s">
        <v>174</v>
      </c>
      <c r="D74" s="25" t="s">
        <v>175</v>
      </c>
      <c r="E74" s="25"/>
      <c r="F74" s="25"/>
      <c r="G74" s="28" t="str">
        <f t="shared" si="0"/>
        <v/>
      </c>
      <c r="H74" s="22" t="str">
        <f>IF(G74="","",IF(D74="Thấp hơn là tốt",IF(G74&lt;=1,"Đạt",IF(G74&lt;='Danh mục'!$B$18,"Cần chú ý","Không đạt")),IF(G74&gt;=1,"Đạt",IF(G74&gt;='Danh mục'!$B$17,"Cần chú ý","Không đạt"))))</f>
        <v/>
      </c>
      <c r="I74" s="3"/>
      <c r="J74" s="3"/>
    </row>
    <row r="75" spans="1:10" ht="30" customHeight="1" x14ac:dyDescent="0.3">
      <c r="A75" s="24">
        <v>4</v>
      </c>
      <c r="B75" s="17" t="s">
        <v>176</v>
      </c>
      <c r="C75" s="17" t="s">
        <v>177</v>
      </c>
      <c r="D75" s="25" t="s">
        <v>170</v>
      </c>
      <c r="E75" s="25"/>
      <c r="F75" s="25"/>
      <c r="G75" s="28" t="str">
        <f t="shared" si="0"/>
        <v/>
      </c>
      <c r="H75" s="22" t="str">
        <f>IF(G75="","",IF(D75="Thấp hơn là tốt",IF(G75&lt;=1,"Đạt",IF(G75&lt;='Danh mục'!$B$18,"Cần chú ý","Không đạt")),IF(G75&gt;=1,"Đạt",IF(G75&gt;='Danh mục'!$B$17,"Cần chú ý","Không đạt"))))</f>
        <v/>
      </c>
      <c r="I75" s="3"/>
      <c r="J75" s="3"/>
    </row>
    <row r="76" spans="1:10" ht="30" customHeight="1" x14ac:dyDescent="0.3">
      <c r="A76" s="24">
        <v>5</v>
      </c>
      <c r="B76" s="17" t="s">
        <v>178</v>
      </c>
      <c r="C76" s="17" t="s">
        <v>179</v>
      </c>
      <c r="D76" s="25" t="s">
        <v>170</v>
      </c>
      <c r="E76" s="25"/>
      <c r="F76" s="25"/>
      <c r="G76" s="28" t="str">
        <f t="shared" si="0"/>
        <v/>
      </c>
      <c r="H76" s="22" t="str">
        <f>IF(G76="","",IF(D76="Thấp hơn là tốt",IF(G76&lt;=1,"Đạt",IF(G76&lt;='Danh mục'!$B$18,"Cần chú ý","Không đạt")),IF(G76&gt;=1,"Đạt",IF(G76&gt;='Danh mục'!$B$17,"Cần chú ý","Không đạt"))))</f>
        <v/>
      </c>
      <c r="I76" s="3"/>
      <c r="J76" s="3"/>
    </row>
    <row r="77" spans="1:10" ht="30" customHeight="1" x14ac:dyDescent="0.3">
      <c r="A77" s="24">
        <v>6</v>
      </c>
      <c r="B77" s="17" t="s">
        <v>180</v>
      </c>
      <c r="C77" s="17" t="s">
        <v>181</v>
      </c>
      <c r="D77" s="25" t="s">
        <v>170</v>
      </c>
      <c r="E77" s="25"/>
      <c r="F77" s="25"/>
      <c r="G77" s="28" t="str">
        <f t="shared" si="0"/>
        <v/>
      </c>
      <c r="H77" s="22" t="str">
        <f>IF(G77="","",IF(D77="Thấp hơn là tốt",IF(G77&lt;=1,"Đạt",IF(G77&lt;='Danh mục'!$B$18,"Cần chú ý","Không đạt")),IF(G77&gt;=1,"Đạt",IF(G77&gt;='Danh mục'!$B$17,"Cần chú ý","Không đạt"))))</f>
        <v/>
      </c>
      <c r="I77" s="3"/>
      <c r="J77" s="3"/>
    </row>
    <row r="78" spans="1:10" ht="30" customHeight="1" x14ac:dyDescent="0.3">
      <c r="A78" s="24">
        <v>7</v>
      </c>
      <c r="B78" s="17"/>
      <c r="C78" s="17"/>
      <c r="D78" s="25"/>
      <c r="E78" s="25"/>
      <c r="F78" s="25"/>
      <c r="G78" s="28" t="str">
        <f t="shared" si="0"/>
        <v/>
      </c>
      <c r="H78" s="22" t="str">
        <f>IF(G78="","",IF(D78="Thấp hơn là tốt",IF(G78&lt;=1,"Đạt",IF(G78&lt;='Danh mục'!$B$18,"Cần chú ý","Không đạt")),IF(G78&gt;=1,"Đạt",IF(G78&gt;='Danh mục'!$B$17,"Cần chú ý","Không đạt"))))</f>
        <v/>
      </c>
      <c r="I78" s="3"/>
      <c r="J78" s="3"/>
    </row>
    <row r="79" spans="1:10" ht="30" customHeight="1" x14ac:dyDescent="0.3">
      <c r="A79" s="24">
        <v>8</v>
      </c>
      <c r="B79" s="17"/>
      <c r="C79" s="17"/>
      <c r="D79" s="25"/>
      <c r="E79" s="25"/>
      <c r="F79" s="25"/>
      <c r="G79" s="28" t="str">
        <f t="shared" si="0"/>
        <v/>
      </c>
      <c r="H79" s="22" t="str">
        <f>IF(G79="","",IF(D79="Thấp hơn là tốt",IF(G79&lt;=1,"Đạt",IF(G79&lt;='Danh mục'!$B$18,"Cần chú ý","Không đạt")),IF(G79&gt;=1,"Đạt",IF(G79&gt;='Danh mục'!$B$17,"Cần chú ý","Không đạt"))))</f>
        <v/>
      </c>
      <c r="I79" s="3"/>
      <c r="J79" s="3"/>
    </row>
    <row r="80" spans="1:10" ht="15" customHeight="1" x14ac:dyDescent="0.3">
      <c r="B80" s="10" t="s">
        <v>182</v>
      </c>
      <c r="C80" s="10"/>
      <c r="D80" s="10"/>
      <c r="E80" s="10"/>
      <c r="F80" s="10"/>
      <c r="G80" s="10"/>
      <c r="H80" s="10"/>
      <c r="I80" s="10"/>
      <c r="J80" s="10"/>
    </row>
  </sheetData>
  <mergeCells count="113">
    <mergeCell ref="I79:J79"/>
    <mergeCell ref="B80:J80"/>
    <mergeCell ref="A70:J70"/>
    <mergeCell ref="I71:J71"/>
    <mergeCell ref="I72:J72"/>
    <mergeCell ref="I73:J73"/>
    <mergeCell ref="I74:J74"/>
    <mergeCell ref="I75:J75"/>
    <mergeCell ref="I76:J76"/>
    <mergeCell ref="I77:J77"/>
    <mergeCell ref="I78:J78"/>
    <mergeCell ref="C66:D66"/>
    <mergeCell ref="E66:G66"/>
    <mergeCell ref="H66:I66"/>
    <mergeCell ref="C67:D67"/>
    <mergeCell ref="E67:G67"/>
    <mergeCell ref="H67:I67"/>
    <mergeCell ref="C68:D68"/>
    <mergeCell ref="E68:G68"/>
    <mergeCell ref="H68:I68"/>
    <mergeCell ref="A62:J62"/>
    <mergeCell ref="C63:D63"/>
    <mergeCell ref="E63:G63"/>
    <mergeCell ref="H63:I63"/>
    <mergeCell ref="C64:D64"/>
    <mergeCell ref="E64:G64"/>
    <mergeCell ref="H64:I64"/>
    <mergeCell ref="C65:D65"/>
    <mergeCell ref="E65:G65"/>
    <mergeCell ref="H65:I65"/>
    <mergeCell ref="B51:J51"/>
    <mergeCell ref="A53:J53"/>
    <mergeCell ref="F54:J54"/>
    <mergeCell ref="F55:J55"/>
    <mergeCell ref="F56:J56"/>
    <mergeCell ref="F57:J57"/>
    <mergeCell ref="F58:J58"/>
    <mergeCell ref="F59:J59"/>
    <mergeCell ref="F60:J60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E40:F40"/>
    <mergeCell ref="G40:H40"/>
    <mergeCell ref="I40:J40"/>
    <mergeCell ref="B41:J41"/>
    <mergeCell ref="A43:J43"/>
    <mergeCell ref="F44:G44"/>
    <mergeCell ref="H44:J44"/>
    <mergeCell ref="F45:G45"/>
    <mergeCell ref="H45:J45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A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H23:J23"/>
    <mergeCell ref="H24:J24"/>
    <mergeCell ref="H25:J25"/>
    <mergeCell ref="H26:J26"/>
    <mergeCell ref="H27:J27"/>
    <mergeCell ref="H28:J28"/>
    <mergeCell ref="H29:J29"/>
    <mergeCell ref="H30:J30"/>
    <mergeCell ref="B31:J31"/>
    <mergeCell ref="A14:J14"/>
    <mergeCell ref="H15:J15"/>
    <mergeCell ref="H16:J16"/>
    <mergeCell ref="H17:J17"/>
    <mergeCell ref="H18:J18"/>
    <mergeCell ref="H19:J19"/>
    <mergeCell ref="H20:J20"/>
    <mergeCell ref="H21:J21"/>
    <mergeCell ref="H22:J22"/>
    <mergeCell ref="C7:D7"/>
    <mergeCell ref="E7:F7"/>
    <mergeCell ref="G7:H7"/>
    <mergeCell ref="C8:D8"/>
    <mergeCell ref="E8:F8"/>
    <mergeCell ref="G8:H8"/>
    <mergeCell ref="A10:J10"/>
    <mergeCell ref="I11:J11"/>
    <mergeCell ref="I12:J12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D45:D50">
    <cfRule type="cellIs" dxfId="67" priority="8" operator="equal">
      <formula>"Cao"</formula>
    </cfRule>
  </conditionalFormatting>
  <conditionalFormatting sqref="E16:E30">
    <cfRule type="expression" dxfId="66" priority="2">
      <formula>AND(E16&lt;&gt;"",E16&lt;TODAY(),$F16&lt;&gt;"Done")</formula>
    </cfRule>
  </conditionalFormatting>
  <conditionalFormatting sqref="E55:E60">
    <cfRule type="cellIs" dxfId="65" priority="9" operator="equal">
      <formula>"Cao"</formula>
    </cfRule>
  </conditionalFormatting>
  <conditionalFormatting sqref="F16:F30">
    <cfRule type="cellIs" dxfId="64" priority="3" operator="equal">
      <formula>"Done"</formula>
    </cfRule>
    <cfRule type="cellIs" dxfId="63" priority="4" operator="equal">
      <formula>"In Progress"</formula>
    </cfRule>
    <cfRule type="cellIs" dxfId="62" priority="5" operator="equal">
      <formula>"Blocked"</formula>
    </cfRule>
    <cfRule type="cellIs" dxfId="61" priority="6" operator="equal">
      <formula>"Pending"</formula>
    </cfRule>
    <cfRule type="cellIs" dxfId="60" priority="7" operator="equal">
      <formula>"Overdue"</formula>
    </cfRule>
  </conditionalFormatting>
  <conditionalFormatting sqref="H72:H79">
    <cfRule type="cellIs" dxfId="59" priority="10" operator="equal">
      <formula>"Đạt"</formula>
    </cfRule>
    <cfRule type="cellIs" dxfId="58" priority="11" operator="equal">
      <formula>"Cần chú ý"</formula>
    </cfRule>
    <cfRule type="cellIs" dxfId="57" priority="12" operator="equal">
      <formula>"Không đạt"</formula>
    </cfRule>
  </conditionalFormatting>
  <dataValidations count="2">
    <dataValidation type="decimal" allowBlank="1" showErrorMessage="1" errorTitle="Giá trị không hợp lệ" error="Nhập từ 0% đến 100%" sqref="G16:G30" xr:uid="{00000000-0002-0000-0100-000002000000}">
      <formula1>0</formula1>
      <formula2>1</formula2>
    </dataValidation>
    <dataValidation type="list" allowBlank="1" sqref="D72:D79" xr:uid="{00000000-0002-0000-0100-000005000000}">
      <formula1>"Cao hơn là tốt,Thấp hơn là tốt"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'Danh mục'!$K$5:$K$11</xm:f>
          </x14:formula1>
          <x14:formula2>
            <xm:f>0</xm:f>
          </x14:formula2>
          <xm:sqref>C16:C30</xm:sqref>
        </x14:dataValidation>
        <x14:dataValidation type="list" allowBlank="1" xr:uid="{00000000-0002-0000-0100-000001000000}">
          <x14:formula1>
            <xm:f>'Danh mục'!$A$5:$A$9</xm:f>
          </x14:formula1>
          <x14:formula2>
            <xm:f>0</xm:f>
          </x14:formula2>
          <xm:sqref>F16:F30</xm:sqref>
        </x14:dataValidation>
        <x14:dataValidation type="list" allowBlank="1" xr:uid="{00000000-0002-0000-0100-000003000000}">
          <x14:formula1>
            <xm:f>'Danh mục'!$D$5:$D$7</xm:f>
          </x14:formula1>
          <x14:formula2>
            <xm:f>0</xm:f>
          </x14:formula2>
          <xm:sqref>D45:D50 E55:E60</xm:sqref>
        </x14:dataValidation>
        <x14:dataValidation type="list" allowBlank="1" showInputMessage="1" showErrorMessage="1" xr:uid="{2E8F02C3-DD35-45B1-AB78-721B4F5C22D6}">
          <x14:formula1>
            <xm:f>'Danh mục'!$O$5:$O$100</xm:f>
          </x14:formula1>
          <xm:sqref>D16:D30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J103"/>
  <sheetViews>
    <sheetView showGridLines="0" zoomScaleNormal="100" workbookViewId="0">
      <pane ySplit="2" topLeftCell="A29" activePane="bottomLeft" state="frozen"/>
      <selection pane="bottomLeft" activeCell="C37" sqref="C37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183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97</v>
      </c>
      <c r="D5" s="9"/>
      <c r="E5" s="8" t="s">
        <v>184</v>
      </c>
      <c r="F5" s="8"/>
      <c r="G5" s="9" t="s">
        <v>185</v>
      </c>
      <c r="H5" s="9"/>
    </row>
    <row r="6" spans="1:10" ht="19.5" customHeight="1" x14ac:dyDescent="0.3">
      <c r="B6" s="20" t="s">
        <v>101</v>
      </c>
      <c r="C6" s="9"/>
      <c r="D6" s="9"/>
      <c r="E6" s="8" t="s">
        <v>102</v>
      </c>
      <c r="F6" s="8"/>
      <c r="G6" s="9"/>
      <c r="H6" s="9"/>
    </row>
    <row r="7" spans="1:10" ht="19.5" customHeight="1" x14ac:dyDescent="0.3">
      <c r="B7" s="20" t="s">
        <v>103</v>
      </c>
      <c r="C7" s="9" t="s">
        <v>186</v>
      </c>
      <c r="D7" s="9"/>
      <c r="E7" s="8" t="s">
        <v>104</v>
      </c>
      <c r="F7" s="8"/>
      <c r="G7" s="9"/>
      <c r="H7" s="9"/>
    </row>
    <row r="9" spans="1:10" ht="19.5" customHeight="1" x14ac:dyDescent="0.3">
      <c r="A9" s="12" t="s">
        <v>187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 ht="30" customHeight="1" x14ac:dyDescent="0.3">
      <c r="B10" s="15" t="s">
        <v>188</v>
      </c>
      <c r="C10" s="15" t="s">
        <v>189</v>
      </c>
      <c r="D10" s="15" t="s">
        <v>190</v>
      </c>
      <c r="E10" s="15" t="s">
        <v>76</v>
      </c>
      <c r="F10" s="15" t="s">
        <v>191</v>
      </c>
      <c r="G10" s="15" t="s">
        <v>192</v>
      </c>
      <c r="H10" s="15" t="s">
        <v>193</v>
      </c>
    </row>
    <row r="11" spans="1:10" ht="21.75" customHeight="1" x14ac:dyDescent="0.3">
      <c r="B11" s="21" t="str">
        <f>COUNTIF(H15:H22,"Đạt")&amp;" / "&amp;COUNTIF(H15:H22,"?*")</f>
        <v>1 / 1</v>
      </c>
      <c r="C11" s="21">
        <f>COUNTA(B37:B48)</f>
        <v>1</v>
      </c>
      <c r="D11" s="23">
        <f>IFERROR(COUNTIF(G37:G48,"Đúng hạn")/COUNTIF(G37:G48,"?*"),"")</f>
        <v>1</v>
      </c>
      <c r="E11" s="21">
        <f>COUNTA(B52:B57)</f>
        <v>1</v>
      </c>
      <c r="F11" s="21">
        <f>COUNTA(B61:B64)</f>
        <v>1</v>
      </c>
      <c r="G11" s="29" t="str">
        <f>E31</f>
        <v/>
      </c>
      <c r="H11" s="21" t="str">
        <f>E32</f>
        <v/>
      </c>
    </row>
    <row r="13" spans="1:10" ht="19.5" customHeight="1" x14ac:dyDescent="0.3">
      <c r="A13" s="12" t="s">
        <v>194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33.75" customHeight="1" x14ac:dyDescent="0.3">
      <c r="A14" s="15" t="s">
        <v>115</v>
      </c>
      <c r="B14" s="15" t="s">
        <v>78</v>
      </c>
      <c r="C14" s="15" t="s">
        <v>163</v>
      </c>
      <c r="D14" s="15" t="s">
        <v>164</v>
      </c>
      <c r="E14" s="15" t="s">
        <v>165</v>
      </c>
      <c r="F14" s="15" t="s">
        <v>166</v>
      </c>
      <c r="G14" s="15" t="s">
        <v>119</v>
      </c>
      <c r="H14" s="15" t="s">
        <v>167</v>
      </c>
      <c r="I14" s="15" t="s">
        <v>195</v>
      </c>
      <c r="J14" s="15" t="s">
        <v>196</v>
      </c>
    </row>
    <row r="15" spans="1:10" ht="30" customHeight="1" x14ac:dyDescent="0.3">
      <c r="A15" s="24">
        <v>1</v>
      </c>
      <c r="B15" s="17" t="s">
        <v>197</v>
      </c>
      <c r="C15" s="17" t="s">
        <v>169</v>
      </c>
      <c r="D15" s="25" t="s">
        <v>170</v>
      </c>
      <c r="E15" s="25">
        <v>30</v>
      </c>
      <c r="F15" s="25">
        <v>32</v>
      </c>
      <c r="G15" s="28">
        <f t="shared" ref="G15:G22" si="0">IF(OR(E15="",F15=""),"",IF(E15=0,"",F15/E15))</f>
        <v>1.0666666666666667</v>
      </c>
      <c r="H15" s="22" t="str">
        <f>IF(G15="","",IF(D15="Thấp hơn là tốt",IF(G15&lt;=1,"Đạt",IF(G15&lt;='Danh mục'!$B$18,"Cần chú ý","Không đạt")),IF(G15&gt;=1,"Đạt",IF(G15&gt;='Danh mục'!$B$17,"Cần chú ý","Không đạt"))))</f>
        <v>Đạt</v>
      </c>
      <c r="I15" s="25">
        <v>28</v>
      </c>
      <c r="J15" s="30">
        <f t="shared" ref="J15:J22" si="1">IF(OR(F15="",I15=""),"",F15-I15)</f>
        <v>4</v>
      </c>
    </row>
    <row r="16" spans="1:10" ht="30" customHeight="1" x14ac:dyDescent="0.3">
      <c r="A16" s="24">
        <v>2</v>
      </c>
      <c r="B16" s="17" t="s">
        <v>171</v>
      </c>
      <c r="C16" s="17" t="s">
        <v>172</v>
      </c>
      <c r="D16" s="25" t="s">
        <v>170</v>
      </c>
      <c r="E16" s="25"/>
      <c r="F16" s="25"/>
      <c r="G16" s="28" t="str">
        <f t="shared" si="0"/>
        <v/>
      </c>
      <c r="H16" s="22" t="str">
        <f>IF(G16="","",IF(D16="Thấp hơn là tốt",IF(G16&lt;=1,"Đạt",IF(G16&lt;='Danh mục'!$B$18,"Cần chú ý","Không đạt")),IF(G16&gt;=1,"Đạt",IF(G16&gt;='Danh mục'!$B$17,"Cần chú ý","Không đạt"))))</f>
        <v/>
      </c>
      <c r="I16" s="25"/>
      <c r="J16" s="30" t="str">
        <f t="shared" si="1"/>
        <v/>
      </c>
    </row>
    <row r="17" spans="1:10" ht="30" customHeight="1" x14ac:dyDescent="0.3">
      <c r="A17" s="24">
        <v>3</v>
      </c>
      <c r="B17" s="17" t="s">
        <v>173</v>
      </c>
      <c r="C17" s="17" t="s">
        <v>174</v>
      </c>
      <c r="D17" s="25" t="s">
        <v>175</v>
      </c>
      <c r="E17" s="25"/>
      <c r="F17" s="25"/>
      <c r="G17" s="28" t="str">
        <f t="shared" si="0"/>
        <v/>
      </c>
      <c r="H17" s="22" t="str">
        <f>IF(G17="","",IF(D17="Thấp hơn là tốt",IF(G17&lt;=1,"Đạt",IF(G17&lt;='Danh mục'!$B$18,"Cần chú ý","Không đạt")),IF(G17&gt;=1,"Đạt",IF(G17&gt;='Danh mục'!$B$17,"Cần chú ý","Không đạt"))))</f>
        <v/>
      </c>
      <c r="I17" s="25"/>
      <c r="J17" s="30" t="str">
        <f t="shared" si="1"/>
        <v/>
      </c>
    </row>
    <row r="18" spans="1:10" ht="30" customHeight="1" x14ac:dyDescent="0.3">
      <c r="A18" s="24">
        <v>4</v>
      </c>
      <c r="B18" s="17" t="s">
        <v>176</v>
      </c>
      <c r="C18" s="17" t="s">
        <v>177</v>
      </c>
      <c r="D18" s="25" t="s">
        <v>170</v>
      </c>
      <c r="E18" s="25"/>
      <c r="F18" s="25"/>
      <c r="G18" s="28" t="str">
        <f t="shared" si="0"/>
        <v/>
      </c>
      <c r="H18" s="22" t="str">
        <f>IF(G18="","",IF(D18="Thấp hơn là tốt",IF(G18&lt;=1,"Đạt",IF(G18&lt;='Danh mục'!$B$18,"Cần chú ý","Không đạt")),IF(G18&gt;=1,"Đạt",IF(G18&gt;='Danh mục'!$B$17,"Cần chú ý","Không đạt"))))</f>
        <v/>
      </c>
      <c r="I18" s="25"/>
      <c r="J18" s="30" t="str">
        <f t="shared" si="1"/>
        <v/>
      </c>
    </row>
    <row r="19" spans="1:10" ht="30" customHeight="1" x14ac:dyDescent="0.3">
      <c r="A19" s="24">
        <v>5</v>
      </c>
      <c r="B19" s="17" t="s">
        <v>178</v>
      </c>
      <c r="C19" s="17" t="s">
        <v>179</v>
      </c>
      <c r="D19" s="25" t="s">
        <v>170</v>
      </c>
      <c r="E19" s="25"/>
      <c r="F19" s="25"/>
      <c r="G19" s="28" t="str">
        <f t="shared" si="0"/>
        <v/>
      </c>
      <c r="H19" s="22" t="str">
        <f>IF(G19="","",IF(D19="Thấp hơn là tốt",IF(G19&lt;=1,"Đạt",IF(G19&lt;='Danh mục'!$B$18,"Cần chú ý","Không đạt")),IF(G19&gt;=1,"Đạt",IF(G19&gt;='Danh mục'!$B$17,"Cần chú ý","Không đạt"))))</f>
        <v/>
      </c>
      <c r="I19" s="25"/>
      <c r="J19" s="30" t="str">
        <f t="shared" si="1"/>
        <v/>
      </c>
    </row>
    <row r="20" spans="1:10" ht="30" customHeight="1" x14ac:dyDescent="0.3">
      <c r="A20" s="24">
        <v>6</v>
      </c>
      <c r="B20" s="17" t="s">
        <v>198</v>
      </c>
      <c r="C20" s="17" t="s">
        <v>179</v>
      </c>
      <c r="D20" s="25" t="s">
        <v>175</v>
      </c>
      <c r="E20" s="25"/>
      <c r="F20" s="25"/>
      <c r="G20" s="28" t="str">
        <f t="shared" si="0"/>
        <v/>
      </c>
      <c r="H20" s="22" t="str">
        <f>IF(G20="","",IF(D20="Thấp hơn là tốt",IF(G20&lt;=1,"Đạt",IF(G20&lt;='Danh mục'!$B$18,"Cần chú ý","Không đạt")),IF(G20&gt;=1,"Đạt",IF(G20&gt;='Danh mục'!$B$17,"Cần chú ý","Không đạt"))))</f>
        <v/>
      </c>
      <c r="I20" s="25"/>
      <c r="J20" s="30" t="str">
        <f t="shared" si="1"/>
        <v/>
      </c>
    </row>
    <row r="21" spans="1:10" ht="30" customHeight="1" x14ac:dyDescent="0.3">
      <c r="A21" s="24">
        <v>7</v>
      </c>
      <c r="B21" s="17"/>
      <c r="C21" s="17"/>
      <c r="D21" s="25"/>
      <c r="E21" s="25"/>
      <c r="F21" s="25"/>
      <c r="G21" s="28" t="str">
        <f t="shared" si="0"/>
        <v/>
      </c>
      <c r="H21" s="22" t="str">
        <f>IF(G21="","",IF(D21="Thấp hơn là tốt",IF(G21&lt;=1,"Đạt",IF(G21&lt;='Danh mục'!$B$18,"Cần chú ý","Không đạt")),IF(G21&gt;=1,"Đạt",IF(G21&gt;='Danh mục'!$B$17,"Cần chú ý","Không đạt"))))</f>
        <v/>
      </c>
      <c r="I21" s="25"/>
      <c r="J21" s="30" t="str">
        <f t="shared" si="1"/>
        <v/>
      </c>
    </row>
    <row r="22" spans="1:10" ht="30" customHeight="1" x14ac:dyDescent="0.3">
      <c r="A22" s="24">
        <v>8</v>
      </c>
      <c r="B22" s="17"/>
      <c r="C22" s="17"/>
      <c r="D22" s="25"/>
      <c r="E22" s="25"/>
      <c r="F22" s="25"/>
      <c r="G22" s="28" t="str">
        <f t="shared" si="0"/>
        <v/>
      </c>
      <c r="H22" s="22" t="str">
        <f>IF(G22="","",IF(D22="Thấp hơn là tốt",IF(G22&lt;=1,"Đạt",IF(G22&lt;='Danh mục'!$B$18,"Cần chú ý","Không đạt")),IF(G22&gt;=1,"Đạt",IF(G22&gt;='Danh mục'!$B$17,"Cần chú ý","Không đạt"))))</f>
        <v/>
      </c>
      <c r="I22" s="25"/>
      <c r="J22" s="30" t="str">
        <f t="shared" si="1"/>
        <v/>
      </c>
    </row>
    <row r="24" spans="1:10" ht="19.5" customHeight="1" x14ac:dyDescent="0.3">
      <c r="A24" s="12" t="s">
        <v>199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33.75" customHeight="1" x14ac:dyDescent="0.3">
      <c r="A25" s="15" t="s">
        <v>115</v>
      </c>
      <c r="B25" s="15" t="s">
        <v>200</v>
      </c>
      <c r="C25" s="15" t="s">
        <v>201</v>
      </c>
      <c r="D25" s="15" t="s">
        <v>202</v>
      </c>
      <c r="E25" s="15" t="s">
        <v>203</v>
      </c>
      <c r="F25" s="5" t="s">
        <v>204</v>
      </c>
      <c r="G25" s="5"/>
      <c r="H25" s="5"/>
      <c r="I25" s="5"/>
      <c r="J25" s="5"/>
    </row>
    <row r="26" spans="1:10" ht="30" customHeight="1" x14ac:dyDescent="0.3">
      <c r="A26" s="24">
        <v>1</v>
      </c>
      <c r="B26" s="17" t="s">
        <v>205</v>
      </c>
      <c r="C26" s="27">
        <v>0.5</v>
      </c>
      <c r="D26" s="25"/>
      <c r="E26" s="31" t="str">
        <f>IF(D26="","",C26*D26)</f>
        <v/>
      </c>
      <c r="F26" s="3"/>
      <c r="G26" s="3"/>
      <c r="H26" s="3"/>
      <c r="I26" s="3"/>
      <c r="J26" s="3"/>
    </row>
    <row r="27" spans="1:10" ht="30" customHeight="1" x14ac:dyDescent="0.3">
      <c r="A27" s="24">
        <v>2</v>
      </c>
      <c r="B27" s="17" t="s">
        <v>206</v>
      </c>
      <c r="C27" s="27">
        <v>0.2</v>
      </c>
      <c r="D27" s="25"/>
      <c r="E27" s="31" t="str">
        <f>IF(D27="","",C27*D27)</f>
        <v/>
      </c>
      <c r="F27" s="3"/>
      <c r="G27" s="3"/>
      <c r="H27" s="3"/>
      <c r="I27" s="3"/>
      <c r="J27" s="3"/>
    </row>
    <row r="28" spans="1:10" ht="30" customHeight="1" x14ac:dyDescent="0.3">
      <c r="A28" s="24">
        <v>3</v>
      </c>
      <c r="B28" s="17" t="s">
        <v>207</v>
      </c>
      <c r="C28" s="27">
        <v>0.15</v>
      </c>
      <c r="D28" s="25"/>
      <c r="E28" s="31" t="str">
        <f>IF(D28="","",C28*D28)</f>
        <v/>
      </c>
      <c r="F28" s="3"/>
      <c r="G28" s="3"/>
      <c r="H28" s="3"/>
      <c r="I28" s="3"/>
      <c r="J28" s="3"/>
    </row>
    <row r="29" spans="1:10" ht="30" customHeight="1" x14ac:dyDescent="0.3">
      <c r="A29" s="24">
        <v>4</v>
      </c>
      <c r="B29" s="17" t="s">
        <v>208</v>
      </c>
      <c r="C29" s="27">
        <v>0.1</v>
      </c>
      <c r="D29" s="25"/>
      <c r="E29" s="31" t="str">
        <f>IF(D29="","",C29*D29)</f>
        <v/>
      </c>
      <c r="F29" s="3"/>
      <c r="G29" s="3"/>
      <c r="H29" s="3"/>
      <c r="I29" s="3"/>
      <c r="J29" s="3"/>
    </row>
    <row r="30" spans="1:10" ht="30" customHeight="1" x14ac:dyDescent="0.3">
      <c r="A30" s="24">
        <v>5</v>
      </c>
      <c r="B30" s="17" t="s">
        <v>209</v>
      </c>
      <c r="C30" s="27">
        <v>0.05</v>
      </c>
      <c r="D30" s="25"/>
      <c r="E30" s="31" t="str">
        <f>IF(D30="","",C30*D30)</f>
        <v/>
      </c>
      <c r="F30" s="3"/>
      <c r="G30" s="3"/>
      <c r="H30" s="3"/>
      <c r="I30" s="3"/>
      <c r="J30" s="3"/>
    </row>
    <row r="31" spans="1:10" x14ac:dyDescent="0.3">
      <c r="A31" s="32"/>
      <c r="B31" s="20" t="s">
        <v>210</v>
      </c>
      <c r="C31" s="23">
        <f>SUM(C26:C30)</f>
        <v>1</v>
      </c>
      <c r="D31" s="33"/>
      <c r="E31" s="29" t="str">
        <f>IF(COUNT(D26:D30)=0,"",SUM(E26:E30))</f>
        <v/>
      </c>
      <c r="F31" s="2" t="str">
        <f>IF(ROUND(C31,4)=1,"Trọng số hợp lệ (tổng 100%)","Tổng trọng số phải bằng 100%")</f>
        <v>Trọng số hợp lệ (tổng 100%)</v>
      </c>
      <c r="G31" s="2"/>
      <c r="H31" s="2"/>
      <c r="I31" s="2"/>
      <c r="J31" s="2"/>
    </row>
    <row r="32" spans="1:10" ht="15" customHeight="1" x14ac:dyDescent="0.3">
      <c r="A32" s="32"/>
      <c r="B32" s="20" t="s">
        <v>211</v>
      </c>
      <c r="C32" s="1"/>
      <c r="D32" s="1"/>
      <c r="E32" s="34" t="str">
        <f>IF(E31="","",IF(E31&gt;='Danh mục'!$B$19,"A",IF(E31&gt;='Danh mục'!$B$20,"B",IF(E31&gt;='Danh mục'!$B$21,"C","D"))))</f>
        <v/>
      </c>
      <c r="F32" s="10" t="s">
        <v>212</v>
      </c>
      <c r="G32" s="10"/>
      <c r="H32" s="10"/>
      <c r="I32" s="10"/>
      <c r="J32" s="10"/>
    </row>
    <row r="34" spans="1:10" ht="19.5" customHeight="1" x14ac:dyDescent="0.3">
      <c r="A34" s="12" t="s">
        <v>213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5" customHeight="1" x14ac:dyDescent="0.3">
      <c r="B35" s="37" t="s">
        <v>214</v>
      </c>
      <c r="C35" s="37"/>
      <c r="D35" s="37"/>
      <c r="E35" s="37"/>
      <c r="F35" s="37"/>
      <c r="G35" s="37"/>
      <c r="H35" s="37"/>
      <c r="I35" s="37"/>
      <c r="J35" s="37"/>
    </row>
    <row r="36" spans="1:10" ht="33.75" customHeight="1" x14ac:dyDescent="0.3">
      <c r="A36" s="15" t="s">
        <v>115</v>
      </c>
      <c r="B36" s="15" t="s">
        <v>74</v>
      </c>
      <c r="C36" s="15" t="s">
        <v>117</v>
      </c>
      <c r="D36" s="15" t="s">
        <v>116</v>
      </c>
      <c r="E36" s="15" t="s">
        <v>118</v>
      </c>
      <c r="F36" s="15" t="s">
        <v>215</v>
      </c>
      <c r="G36" s="15" t="s">
        <v>216</v>
      </c>
      <c r="H36" s="5" t="s">
        <v>217</v>
      </c>
      <c r="I36" s="5"/>
      <c r="J36" s="5"/>
    </row>
    <row r="37" spans="1:10" ht="30" customHeight="1" x14ac:dyDescent="0.3">
      <c r="A37" s="24">
        <v>1</v>
      </c>
      <c r="B37" s="17" t="s">
        <v>218</v>
      </c>
      <c r="C37" s="17" t="s">
        <v>123</v>
      </c>
      <c r="D37" s="25" t="s">
        <v>219</v>
      </c>
      <c r="E37" s="26">
        <v>46315</v>
      </c>
      <c r="F37" s="26">
        <v>46314</v>
      </c>
      <c r="G37" s="22" t="str">
        <f t="shared" ref="G37:G48" si="2">IF(OR(E37="",F37=""),"",IF(F37&lt;=E37,"Đúng hạn","Trễ"))</f>
        <v>Đúng hạn</v>
      </c>
      <c r="H37" s="3" t="s">
        <v>220</v>
      </c>
      <c r="I37" s="3"/>
      <c r="J37" s="3"/>
    </row>
    <row r="38" spans="1:10" ht="30" customHeight="1" x14ac:dyDescent="0.3">
      <c r="A38" s="24">
        <v>2</v>
      </c>
      <c r="B38" s="17"/>
      <c r="C38" s="17"/>
      <c r="D38" s="25"/>
      <c r="E38" s="26"/>
      <c r="F38" s="26"/>
      <c r="G38" s="22" t="str">
        <f t="shared" si="2"/>
        <v/>
      </c>
      <c r="H38" s="3"/>
      <c r="I38" s="3"/>
      <c r="J38" s="3"/>
    </row>
    <row r="39" spans="1:10" ht="30" customHeight="1" x14ac:dyDescent="0.3">
      <c r="A39" s="24">
        <v>3</v>
      </c>
      <c r="B39" s="17"/>
      <c r="C39" s="17"/>
      <c r="D39" s="25"/>
      <c r="E39" s="26"/>
      <c r="F39" s="26"/>
      <c r="G39" s="22" t="str">
        <f t="shared" si="2"/>
        <v/>
      </c>
      <c r="H39" s="3"/>
      <c r="I39" s="3"/>
      <c r="J39" s="3"/>
    </row>
    <row r="40" spans="1:10" ht="30" customHeight="1" x14ac:dyDescent="0.3">
      <c r="A40" s="24">
        <v>4</v>
      </c>
      <c r="B40" s="17"/>
      <c r="C40" s="17"/>
      <c r="D40" s="25"/>
      <c r="E40" s="26"/>
      <c r="F40" s="26"/>
      <c r="G40" s="22" t="str">
        <f t="shared" si="2"/>
        <v/>
      </c>
      <c r="H40" s="3"/>
      <c r="I40" s="3"/>
      <c r="J40" s="3"/>
    </row>
    <row r="41" spans="1:10" ht="30" customHeight="1" x14ac:dyDescent="0.3">
      <c r="A41" s="24">
        <v>5</v>
      </c>
      <c r="B41" s="17"/>
      <c r="C41" s="17"/>
      <c r="D41" s="25"/>
      <c r="E41" s="26"/>
      <c r="F41" s="26"/>
      <c r="G41" s="22" t="str">
        <f t="shared" si="2"/>
        <v/>
      </c>
      <c r="H41" s="3"/>
      <c r="I41" s="3"/>
      <c r="J41" s="3"/>
    </row>
    <row r="42" spans="1:10" ht="30" customHeight="1" x14ac:dyDescent="0.3">
      <c r="A42" s="24">
        <v>6</v>
      </c>
      <c r="B42" s="17"/>
      <c r="C42" s="17"/>
      <c r="D42" s="25"/>
      <c r="E42" s="26"/>
      <c r="F42" s="26"/>
      <c r="G42" s="22" t="str">
        <f t="shared" si="2"/>
        <v/>
      </c>
      <c r="H42" s="3"/>
      <c r="I42" s="3"/>
      <c r="J42" s="3"/>
    </row>
    <row r="43" spans="1:10" ht="30" customHeight="1" x14ac:dyDescent="0.3">
      <c r="A43" s="24">
        <v>7</v>
      </c>
      <c r="B43" s="17"/>
      <c r="C43" s="17"/>
      <c r="D43" s="25"/>
      <c r="E43" s="26"/>
      <c r="F43" s="26"/>
      <c r="G43" s="22" t="str">
        <f t="shared" si="2"/>
        <v/>
      </c>
      <c r="H43" s="3"/>
      <c r="I43" s="3"/>
      <c r="J43" s="3"/>
    </row>
    <row r="44" spans="1:10" ht="30" customHeight="1" x14ac:dyDescent="0.3">
      <c r="A44" s="24">
        <v>8</v>
      </c>
      <c r="B44" s="17"/>
      <c r="C44" s="17"/>
      <c r="D44" s="25"/>
      <c r="E44" s="26"/>
      <c r="F44" s="26"/>
      <c r="G44" s="22" t="str">
        <f t="shared" si="2"/>
        <v/>
      </c>
      <c r="H44" s="3"/>
      <c r="I44" s="3"/>
      <c r="J44" s="3"/>
    </row>
    <row r="45" spans="1:10" ht="30" customHeight="1" x14ac:dyDescent="0.3">
      <c r="A45" s="24">
        <v>9</v>
      </c>
      <c r="B45" s="17"/>
      <c r="C45" s="17"/>
      <c r="D45" s="25"/>
      <c r="E45" s="26"/>
      <c r="F45" s="26"/>
      <c r="G45" s="22" t="str">
        <f t="shared" si="2"/>
        <v/>
      </c>
      <c r="H45" s="3"/>
      <c r="I45" s="3"/>
      <c r="J45" s="3"/>
    </row>
    <row r="46" spans="1:10" ht="30" customHeight="1" x14ac:dyDescent="0.3">
      <c r="A46" s="24">
        <v>10</v>
      </c>
      <c r="B46" s="17"/>
      <c r="C46" s="17"/>
      <c r="D46" s="25"/>
      <c r="E46" s="26"/>
      <c r="F46" s="26"/>
      <c r="G46" s="22" t="str">
        <f t="shared" si="2"/>
        <v/>
      </c>
      <c r="H46" s="3"/>
      <c r="I46" s="3"/>
      <c r="J46" s="3"/>
    </row>
    <row r="47" spans="1:10" ht="30" customHeight="1" x14ac:dyDescent="0.3">
      <c r="A47" s="24">
        <v>11</v>
      </c>
      <c r="B47" s="17"/>
      <c r="C47" s="17"/>
      <c r="D47" s="25"/>
      <c r="E47" s="26"/>
      <c r="F47" s="26"/>
      <c r="G47" s="22" t="str">
        <f t="shared" si="2"/>
        <v/>
      </c>
      <c r="H47" s="3"/>
      <c r="I47" s="3"/>
      <c r="J47" s="3"/>
    </row>
    <row r="48" spans="1:10" ht="30" customHeight="1" x14ac:dyDescent="0.3">
      <c r="A48" s="24">
        <v>12</v>
      </c>
      <c r="B48" s="17"/>
      <c r="C48" s="17"/>
      <c r="D48" s="25"/>
      <c r="E48" s="26"/>
      <c r="F48" s="26"/>
      <c r="G48" s="22" t="str">
        <f t="shared" si="2"/>
        <v/>
      </c>
      <c r="H48" s="3"/>
      <c r="I48" s="3"/>
      <c r="J48" s="3"/>
    </row>
    <row r="50" spans="1:10" ht="15" customHeight="1" x14ac:dyDescent="0.3">
      <c r="B50" s="37" t="s">
        <v>221</v>
      </c>
      <c r="C50" s="37"/>
      <c r="D50" s="37"/>
      <c r="E50" s="37"/>
      <c r="F50" s="37"/>
      <c r="G50" s="37"/>
      <c r="H50" s="37"/>
      <c r="I50" s="37"/>
      <c r="J50" s="37"/>
    </row>
    <row r="51" spans="1:10" ht="33.75" customHeight="1" x14ac:dyDescent="0.3">
      <c r="A51" s="15" t="s">
        <v>115</v>
      </c>
      <c r="B51" s="15" t="s">
        <v>74</v>
      </c>
      <c r="C51" s="15" t="s">
        <v>117</v>
      </c>
      <c r="D51" s="15" t="s">
        <v>222</v>
      </c>
      <c r="E51" s="15" t="s">
        <v>140</v>
      </c>
      <c r="F51" s="15" t="s">
        <v>223</v>
      </c>
      <c r="G51" s="15" t="s">
        <v>139</v>
      </c>
      <c r="H51" s="15" t="s">
        <v>224</v>
      </c>
      <c r="I51" s="5" t="s">
        <v>142</v>
      </c>
      <c r="J51" s="5"/>
    </row>
    <row r="52" spans="1:10" ht="30" customHeight="1" x14ac:dyDescent="0.3">
      <c r="A52" s="24">
        <v>1</v>
      </c>
      <c r="B52" s="17" t="s">
        <v>225</v>
      </c>
      <c r="C52" s="17" t="s">
        <v>144</v>
      </c>
      <c r="D52" s="26">
        <v>46310</v>
      </c>
      <c r="E52" s="26">
        <v>46331</v>
      </c>
      <c r="F52" s="17" t="s">
        <v>226</v>
      </c>
      <c r="G52" s="25" t="s">
        <v>145</v>
      </c>
      <c r="H52" s="17" t="s">
        <v>227</v>
      </c>
      <c r="I52" s="3" t="s">
        <v>228</v>
      </c>
      <c r="J52" s="3"/>
    </row>
    <row r="53" spans="1:10" ht="30" customHeight="1" x14ac:dyDescent="0.3">
      <c r="A53" s="24">
        <v>2</v>
      </c>
      <c r="B53" s="17"/>
      <c r="C53" s="17"/>
      <c r="D53" s="26"/>
      <c r="E53" s="26"/>
      <c r="F53" s="17"/>
      <c r="G53" s="25"/>
      <c r="H53" s="17"/>
      <c r="I53" s="3"/>
      <c r="J53" s="3"/>
    </row>
    <row r="54" spans="1:10" ht="30" customHeight="1" x14ac:dyDescent="0.3">
      <c r="A54" s="24">
        <v>3</v>
      </c>
      <c r="B54" s="17"/>
      <c r="C54" s="17"/>
      <c r="D54" s="26"/>
      <c r="E54" s="26"/>
      <c r="F54" s="17"/>
      <c r="G54" s="25"/>
      <c r="H54" s="17"/>
      <c r="I54" s="3"/>
      <c r="J54" s="3"/>
    </row>
    <row r="55" spans="1:10" ht="30" customHeight="1" x14ac:dyDescent="0.3">
      <c r="A55" s="24">
        <v>4</v>
      </c>
      <c r="B55" s="17"/>
      <c r="C55" s="17"/>
      <c r="D55" s="26"/>
      <c r="E55" s="26"/>
      <c r="F55" s="17"/>
      <c r="G55" s="25"/>
      <c r="H55" s="17"/>
      <c r="I55" s="3"/>
      <c r="J55" s="3"/>
    </row>
    <row r="56" spans="1:10" ht="30" customHeight="1" x14ac:dyDescent="0.3">
      <c r="A56" s="24">
        <v>5</v>
      </c>
      <c r="B56" s="17"/>
      <c r="C56" s="17"/>
      <c r="D56" s="26"/>
      <c r="E56" s="26"/>
      <c r="F56" s="17"/>
      <c r="G56" s="25"/>
      <c r="H56" s="17"/>
      <c r="I56" s="3"/>
      <c r="J56" s="3"/>
    </row>
    <row r="57" spans="1:10" ht="30" customHeight="1" x14ac:dyDescent="0.3">
      <c r="A57" s="24">
        <v>6</v>
      </c>
      <c r="B57" s="17"/>
      <c r="C57" s="17"/>
      <c r="D57" s="26"/>
      <c r="E57" s="26"/>
      <c r="F57" s="17"/>
      <c r="G57" s="25"/>
      <c r="H57" s="17"/>
      <c r="I57" s="3"/>
      <c r="J57" s="3"/>
    </row>
    <row r="59" spans="1:10" ht="15" customHeight="1" x14ac:dyDescent="0.3">
      <c r="B59" s="37" t="s">
        <v>229</v>
      </c>
      <c r="C59" s="37"/>
      <c r="D59" s="37"/>
      <c r="E59" s="37"/>
      <c r="F59" s="37"/>
      <c r="G59" s="37"/>
      <c r="H59" s="37"/>
      <c r="I59" s="37"/>
      <c r="J59" s="37"/>
    </row>
    <row r="60" spans="1:10" ht="33.75" customHeight="1" x14ac:dyDescent="0.3">
      <c r="A60" s="15" t="s">
        <v>115</v>
      </c>
      <c r="B60" s="15" t="s">
        <v>74</v>
      </c>
      <c r="C60" s="15" t="s">
        <v>230</v>
      </c>
      <c r="D60" s="15" t="s">
        <v>231</v>
      </c>
      <c r="E60" s="15" t="s">
        <v>232</v>
      </c>
      <c r="F60" s="5" t="s">
        <v>224</v>
      </c>
      <c r="G60" s="5"/>
      <c r="H60" s="5"/>
      <c r="I60" s="5"/>
      <c r="J60" s="5"/>
    </row>
    <row r="61" spans="1:10" ht="30" customHeight="1" x14ac:dyDescent="0.3">
      <c r="A61" s="24">
        <v>1</v>
      </c>
      <c r="B61" s="17" t="s">
        <v>233</v>
      </c>
      <c r="C61" s="25" t="s">
        <v>234</v>
      </c>
      <c r="D61" s="17" t="s">
        <v>135</v>
      </c>
      <c r="E61" s="26">
        <v>46307</v>
      </c>
      <c r="F61" s="3" t="s">
        <v>235</v>
      </c>
      <c r="G61" s="3"/>
      <c r="H61" s="3"/>
      <c r="I61" s="3"/>
      <c r="J61" s="3"/>
    </row>
    <row r="62" spans="1:10" ht="30" customHeight="1" x14ac:dyDescent="0.3">
      <c r="A62" s="24">
        <v>2</v>
      </c>
      <c r="B62" s="17"/>
      <c r="C62" s="25"/>
      <c r="D62" s="17"/>
      <c r="E62" s="26"/>
      <c r="F62" s="3"/>
      <c r="G62" s="3"/>
      <c r="H62" s="3"/>
      <c r="I62" s="3"/>
      <c r="J62" s="3"/>
    </row>
    <row r="63" spans="1:10" ht="30" customHeight="1" x14ac:dyDescent="0.3">
      <c r="A63" s="24">
        <v>3</v>
      </c>
      <c r="B63" s="17"/>
      <c r="C63" s="25"/>
      <c r="D63" s="17"/>
      <c r="E63" s="26"/>
      <c r="F63" s="3"/>
      <c r="G63" s="3"/>
      <c r="H63" s="3"/>
      <c r="I63" s="3"/>
      <c r="J63" s="3"/>
    </row>
    <row r="64" spans="1:10" ht="30" customHeight="1" x14ac:dyDescent="0.3">
      <c r="A64" s="24">
        <v>4</v>
      </c>
      <c r="B64" s="17"/>
      <c r="C64" s="25"/>
      <c r="D64" s="17"/>
      <c r="E64" s="26"/>
      <c r="F64" s="3"/>
      <c r="G64" s="3"/>
      <c r="H64" s="3"/>
      <c r="I64" s="3"/>
      <c r="J64" s="3"/>
    </row>
    <row r="66" spans="1:10" ht="19.5" customHeight="1" x14ac:dyDescent="0.3">
      <c r="A66" s="12" t="s">
        <v>236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33.75" customHeight="1" x14ac:dyDescent="0.3">
      <c r="A67" s="15" t="s">
        <v>115</v>
      </c>
      <c r="B67" s="15" t="s">
        <v>154</v>
      </c>
      <c r="C67" s="5" t="s">
        <v>237</v>
      </c>
      <c r="D67" s="5"/>
      <c r="E67" s="5" t="s">
        <v>238</v>
      </c>
      <c r="F67" s="5"/>
      <c r="G67" s="5" t="s">
        <v>142</v>
      </c>
      <c r="H67" s="5"/>
      <c r="I67" s="15" t="s">
        <v>239</v>
      </c>
      <c r="J67" s="15" t="s">
        <v>118</v>
      </c>
    </row>
    <row r="68" spans="1:10" ht="30" customHeight="1" x14ac:dyDescent="0.3">
      <c r="A68" s="24">
        <v>1</v>
      </c>
      <c r="B68" s="17" t="s">
        <v>240</v>
      </c>
      <c r="C68" s="3" t="s">
        <v>241</v>
      </c>
      <c r="D68" s="3"/>
      <c r="E68" s="3" t="s">
        <v>242</v>
      </c>
      <c r="F68" s="3"/>
      <c r="G68" s="3" t="s">
        <v>243</v>
      </c>
      <c r="H68" s="3"/>
      <c r="I68" s="17" t="s">
        <v>144</v>
      </c>
      <c r="J68" s="26">
        <v>46336</v>
      </c>
    </row>
    <row r="69" spans="1:10" ht="30" customHeight="1" x14ac:dyDescent="0.3">
      <c r="A69" s="24">
        <v>2</v>
      </c>
      <c r="B69" s="17"/>
      <c r="C69" s="3"/>
      <c r="D69" s="3"/>
      <c r="E69" s="3"/>
      <c r="F69" s="3"/>
      <c r="G69" s="3"/>
      <c r="H69" s="3"/>
      <c r="I69" s="17"/>
      <c r="J69" s="26"/>
    </row>
    <row r="70" spans="1:10" ht="30" customHeight="1" x14ac:dyDescent="0.3">
      <c r="A70" s="24">
        <v>3</v>
      </c>
      <c r="B70" s="17"/>
      <c r="C70" s="3"/>
      <c r="D70" s="3"/>
      <c r="E70" s="3"/>
      <c r="F70" s="3"/>
      <c r="G70" s="3"/>
      <c r="H70" s="3"/>
      <c r="I70" s="17"/>
      <c r="J70" s="26"/>
    </row>
    <row r="71" spans="1:10" ht="30" customHeight="1" x14ac:dyDescent="0.3">
      <c r="A71" s="24">
        <v>4</v>
      </c>
      <c r="B71" s="17"/>
      <c r="C71" s="3"/>
      <c r="D71" s="3"/>
      <c r="E71" s="3"/>
      <c r="F71" s="3"/>
      <c r="G71" s="3"/>
      <c r="H71" s="3"/>
      <c r="I71" s="17"/>
      <c r="J71" s="26"/>
    </row>
    <row r="72" spans="1:10" ht="30" customHeight="1" x14ac:dyDescent="0.3">
      <c r="A72" s="24">
        <v>5</v>
      </c>
      <c r="B72" s="17"/>
      <c r="C72" s="3"/>
      <c r="D72" s="3"/>
      <c r="E72" s="3"/>
      <c r="F72" s="3"/>
      <c r="G72" s="3"/>
      <c r="H72" s="3"/>
      <c r="I72" s="17"/>
      <c r="J72" s="26"/>
    </row>
    <row r="74" spans="1:10" ht="19.5" customHeight="1" x14ac:dyDescent="0.3">
      <c r="A74" s="12" t="s">
        <v>244</v>
      </c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33.75" customHeight="1" x14ac:dyDescent="0.3">
      <c r="A75" s="15" t="s">
        <v>115</v>
      </c>
      <c r="B75" s="15" t="s">
        <v>245</v>
      </c>
      <c r="C75" s="15" t="s">
        <v>116</v>
      </c>
      <c r="D75" s="5" t="s">
        <v>246</v>
      </c>
      <c r="E75" s="5"/>
      <c r="F75" s="5"/>
      <c r="G75" s="15" t="s">
        <v>247</v>
      </c>
      <c r="H75" s="15" t="s">
        <v>248</v>
      </c>
      <c r="I75" s="5" t="s">
        <v>249</v>
      </c>
      <c r="J75" s="5"/>
    </row>
    <row r="76" spans="1:10" ht="30" customHeight="1" x14ac:dyDescent="0.3">
      <c r="A76" s="24">
        <v>1</v>
      </c>
      <c r="B76" s="17" t="s">
        <v>123</v>
      </c>
      <c r="C76" s="25" t="s">
        <v>122</v>
      </c>
      <c r="D76" s="3" t="s">
        <v>250</v>
      </c>
      <c r="E76" s="3"/>
      <c r="F76" s="3"/>
      <c r="G76" s="27">
        <v>0.4</v>
      </c>
      <c r="H76" s="25">
        <v>4</v>
      </c>
      <c r="I76" s="3" t="s">
        <v>251</v>
      </c>
      <c r="J76" s="3"/>
    </row>
    <row r="77" spans="1:10" ht="30" customHeight="1" x14ac:dyDescent="0.3">
      <c r="A77" s="24">
        <v>2</v>
      </c>
      <c r="B77" s="17"/>
      <c r="C77" s="25"/>
      <c r="D77" s="3"/>
      <c r="E77" s="3"/>
      <c r="F77" s="3"/>
      <c r="G77" s="27"/>
      <c r="H77" s="25"/>
      <c r="I77" s="3"/>
      <c r="J77" s="3"/>
    </row>
    <row r="78" spans="1:10" ht="30" customHeight="1" x14ac:dyDescent="0.3">
      <c r="A78" s="24">
        <v>3</v>
      </c>
      <c r="B78" s="17"/>
      <c r="C78" s="25"/>
      <c r="D78" s="3"/>
      <c r="E78" s="3"/>
      <c r="F78" s="3"/>
      <c r="G78" s="27"/>
      <c r="H78" s="25"/>
      <c r="I78" s="3"/>
      <c r="J78" s="3"/>
    </row>
    <row r="79" spans="1:10" ht="30" customHeight="1" x14ac:dyDescent="0.3">
      <c r="A79" s="24">
        <v>4</v>
      </c>
      <c r="B79" s="17"/>
      <c r="C79" s="25"/>
      <c r="D79" s="3"/>
      <c r="E79" s="3"/>
      <c r="F79" s="3"/>
      <c r="G79" s="27"/>
      <c r="H79" s="25"/>
      <c r="I79" s="3"/>
      <c r="J79" s="3"/>
    </row>
    <row r="80" spans="1:10" ht="30" customHeight="1" x14ac:dyDescent="0.3">
      <c r="A80" s="24">
        <v>5</v>
      </c>
      <c r="B80" s="17"/>
      <c r="C80" s="25"/>
      <c r="D80" s="3"/>
      <c r="E80" s="3"/>
      <c r="F80" s="3"/>
      <c r="G80" s="27"/>
      <c r="H80" s="25"/>
      <c r="I80" s="3"/>
      <c r="J80" s="3"/>
    </row>
    <row r="81" spans="1:10" ht="30" customHeight="1" x14ac:dyDescent="0.3">
      <c r="A81" s="24">
        <v>6</v>
      </c>
      <c r="B81" s="17"/>
      <c r="C81" s="25"/>
      <c r="D81" s="3"/>
      <c r="E81" s="3"/>
      <c r="F81" s="3"/>
      <c r="G81" s="27"/>
      <c r="H81" s="25"/>
      <c r="I81" s="3"/>
      <c r="J81" s="3"/>
    </row>
    <row r="82" spans="1:10" ht="30" customHeight="1" x14ac:dyDescent="0.3">
      <c r="A82" s="24">
        <v>7</v>
      </c>
      <c r="B82" s="17"/>
      <c r="C82" s="25"/>
      <c r="D82" s="3"/>
      <c r="E82" s="3"/>
      <c r="F82" s="3"/>
      <c r="G82" s="27"/>
      <c r="H82" s="25"/>
      <c r="I82" s="3"/>
      <c r="J82" s="3"/>
    </row>
    <row r="83" spans="1:10" ht="30" customHeight="1" x14ac:dyDescent="0.3">
      <c r="A83" s="24">
        <v>8</v>
      </c>
      <c r="B83" s="17"/>
      <c r="C83" s="25"/>
      <c r="D83" s="3"/>
      <c r="E83" s="3"/>
      <c r="F83" s="3"/>
      <c r="G83" s="27"/>
      <c r="H83" s="25"/>
      <c r="I83" s="3"/>
      <c r="J83" s="3"/>
    </row>
    <row r="84" spans="1:10" ht="15" customHeight="1" x14ac:dyDescent="0.3">
      <c r="A84" s="32"/>
      <c r="B84" s="8" t="s">
        <v>252</v>
      </c>
      <c r="C84" s="8"/>
      <c r="D84" s="8"/>
      <c r="E84" s="8"/>
      <c r="F84" s="8"/>
      <c r="G84" s="23">
        <f>SUM(G76:G83)</f>
        <v>0.4</v>
      </c>
      <c r="H84" s="2" t="str">
        <f>IF(G84=0,"",IF(ROUND(G84,4)=1,"Đủ 100%","Chưa đủ 100%"))</f>
        <v>Chưa đủ 100%</v>
      </c>
      <c r="I84" s="2"/>
      <c r="J84" s="2"/>
    </row>
    <row r="86" spans="1:10" ht="19.5" customHeight="1" x14ac:dyDescent="0.3">
      <c r="A86" s="12" t="s">
        <v>253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33.75" customHeight="1" x14ac:dyDescent="0.3">
      <c r="A87" s="15" t="s">
        <v>115</v>
      </c>
      <c r="B87" s="15" t="s">
        <v>254</v>
      </c>
      <c r="C87" s="15" t="s">
        <v>255</v>
      </c>
      <c r="D87" s="15" t="s">
        <v>117</v>
      </c>
      <c r="E87" s="15" t="s">
        <v>118</v>
      </c>
      <c r="F87" s="5" t="s">
        <v>256</v>
      </c>
      <c r="G87" s="5"/>
      <c r="H87" s="5"/>
      <c r="I87" s="5"/>
      <c r="J87" s="5"/>
    </row>
    <row r="88" spans="1:10" ht="30" customHeight="1" x14ac:dyDescent="0.3">
      <c r="A88" s="24">
        <v>1</v>
      </c>
      <c r="B88" s="17" t="s">
        <v>257</v>
      </c>
      <c r="C88" s="25" t="s">
        <v>258</v>
      </c>
      <c r="D88" s="17" t="s">
        <v>144</v>
      </c>
      <c r="E88" s="26">
        <v>46356</v>
      </c>
      <c r="F88" s="3" t="s">
        <v>259</v>
      </c>
      <c r="G88" s="3"/>
      <c r="H88" s="3"/>
      <c r="I88" s="3"/>
      <c r="J88" s="3"/>
    </row>
    <row r="89" spans="1:10" ht="30" customHeight="1" x14ac:dyDescent="0.3">
      <c r="A89" s="24">
        <v>2</v>
      </c>
      <c r="B89" s="17"/>
      <c r="C89" s="25"/>
      <c r="D89" s="17"/>
      <c r="E89" s="26"/>
      <c r="F89" s="3"/>
      <c r="G89" s="3"/>
      <c r="H89" s="3"/>
      <c r="I89" s="3"/>
      <c r="J89" s="3"/>
    </row>
    <row r="90" spans="1:10" ht="30" customHeight="1" x14ac:dyDescent="0.3">
      <c r="A90" s="24">
        <v>3</v>
      </c>
      <c r="B90" s="17"/>
      <c r="C90" s="25"/>
      <c r="D90" s="17"/>
      <c r="E90" s="26"/>
      <c r="F90" s="3"/>
      <c r="G90" s="3"/>
      <c r="H90" s="3"/>
      <c r="I90" s="3"/>
      <c r="J90" s="3"/>
    </row>
    <row r="91" spans="1:10" ht="30" customHeight="1" x14ac:dyDescent="0.3">
      <c r="A91" s="24">
        <v>4</v>
      </c>
      <c r="B91" s="17"/>
      <c r="C91" s="25"/>
      <c r="D91" s="17"/>
      <c r="E91" s="26"/>
      <c r="F91" s="3"/>
      <c r="G91" s="3"/>
      <c r="H91" s="3"/>
      <c r="I91" s="3"/>
      <c r="J91" s="3"/>
    </row>
    <row r="92" spans="1:10" ht="30" customHeight="1" x14ac:dyDescent="0.3">
      <c r="A92" s="24">
        <v>5</v>
      </c>
      <c r="B92" s="17"/>
      <c r="C92" s="25"/>
      <c r="D92" s="17"/>
      <c r="E92" s="26"/>
      <c r="F92" s="3"/>
      <c r="G92" s="3"/>
      <c r="H92" s="3"/>
      <c r="I92" s="3"/>
      <c r="J92" s="3"/>
    </row>
    <row r="93" spans="1:10" ht="30" customHeight="1" x14ac:dyDescent="0.3">
      <c r="A93" s="24">
        <v>6</v>
      </c>
      <c r="B93" s="17"/>
      <c r="C93" s="25"/>
      <c r="D93" s="17"/>
      <c r="E93" s="26"/>
      <c r="F93" s="3"/>
      <c r="G93" s="3"/>
      <c r="H93" s="3"/>
      <c r="I93" s="3"/>
      <c r="J93" s="3"/>
    </row>
    <row r="94" spans="1:10" ht="30" customHeight="1" x14ac:dyDescent="0.3">
      <c r="A94" s="24">
        <v>7</v>
      </c>
      <c r="B94" s="17"/>
      <c r="C94" s="25"/>
      <c r="D94" s="17"/>
      <c r="E94" s="26"/>
      <c r="F94" s="3"/>
      <c r="G94" s="3"/>
      <c r="H94" s="3"/>
      <c r="I94" s="3"/>
      <c r="J94" s="3"/>
    </row>
    <row r="95" spans="1:10" ht="30" customHeight="1" x14ac:dyDescent="0.3">
      <c r="A95" s="24">
        <v>8</v>
      </c>
      <c r="B95" s="17"/>
      <c r="C95" s="25"/>
      <c r="D95" s="17"/>
      <c r="E95" s="26"/>
      <c r="F95" s="3"/>
      <c r="G95" s="3"/>
      <c r="H95" s="3"/>
      <c r="I95" s="3"/>
      <c r="J95" s="3"/>
    </row>
    <row r="97" spans="1:10" ht="19.5" customHeight="1" x14ac:dyDescent="0.3">
      <c r="A97" s="12" t="s">
        <v>260</v>
      </c>
      <c r="B97" s="12"/>
      <c r="C97" s="12"/>
      <c r="D97" s="12"/>
      <c r="E97" s="12"/>
      <c r="F97" s="12"/>
      <c r="G97" s="12"/>
      <c r="H97" s="12"/>
      <c r="I97" s="12"/>
      <c r="J97" s="12"/>
    </row>
    <row r="98" spans="1:10" ht="33.75" customHeight="1" x14ac:dyDescent="0.3">
      <c r="A98" s="15" t="s">
        <v>115</v>
      </c>
      <c r="B98" s="15" t="s">
        <v>82</v>
      </c>
      <c r="C98" s="5" t="s">
        <v>224</v>
      </c>
      <c r="D98" s="5"/>
      <c r="E98" s="5"/>
      <c r="F98" s="5" t="s">
        <v>261</v>
      </c>
      <c r="G98" s="5"/>
      <c r="H98" s="15" t="s">
        <v>118</v>
      </c>
      <c r="I98" s="5" t="s">
        <v>131</v>
      </c>
      <c r="J98" s="5"/>
    </row>
    <row r="99" spans="1:10" ht="30" customHeight="1" x14ac:dyDescent="0.3">
      <c r="A99" s="24">
        <v>1</v>
      </c>
      <c r="B99" s="17" t="s">
        <v>262</v>
      </c>
      <c r="C99" s="3" t="s">
        <v>263</v>
      </c>
      <c r="D99" s="3"/>
      <c r="E99" s="3"/>
      <c r="F99" s="3" t="s">
        <v>135</v>
      </c>
      <c r="G99" s="3"/>
      <c r="H99" s="26">
        <v>46331</v>
      </c>
      <c r="I99" s="3"/>
      <c r="J99" s="3"/>
    </row>
    <row r="100" spans="1:10" ht="30" customHeight="1" x14ac:dyDescent="0.3">
      <c r="A100" s="24">
        <v>2</v>
      </c>
      <c r="B100" s="17"/>
      <c r="C100" s="3"/>
      <c r="D100" s="3"/>
      <c r="E100" s="3"/>
      <c r="F100" s="3"/>
      <c r="G100" s="3"/>
      <c r="H100" s="26"/>
      <c r="I100" s="3"/>
      <c r="J100" s="3"/>
    </row>
    <row r="101" spans="1:10" ht="30" customHeight="1" x14ac:dyDescent="0.3">
      <c r="A101" s="24">
        <v>3</v>
      </c>
      <c r="B101" s="17"/>
      <c r="C101" s="3"/>
      <c r="D101" s="3"/>
      <c r="E101" s="3"/>
      <c r="F101" s="3"/>
      <c r="G101" s="3"/>
      <c r="H101" s="26"/>
      <c r="I101" s="3"/>
      <c r="J101" s="3"/>
    </row>
    <row r="102" spans="1:10" ht="30" customHeight="1" x14ac:dyDescent="0.3">
      <c r="A102" s="24">
        <v>4</v>
      </c>
      <c r="B102" s="17"/>
      <c r="C102" s="3"/>
      <c r="D102" s="3"/>
      <c r="E102" s="3"/>
      <c r="F102" s="3"/>
      <c r="G102" s="3"/>
      <c r="H102" s="26"/>
      <c r="I102" s="3"/>
      <c r="J102" s="3"/>
    </row>
    <row r="103" spans="1:10" ht="30" customHeight="1" x14ac:dyDescent="0.3">
      <c r="A103" s="24">
        <v>5</v>
      </c>
      <c r="B103" s="17"/>
      <c r="C103" s="3"/>
      <c r="D103" s="3"/>
      <c r="E103" s="3"/>
      <c r="F103" s="3"/>
      <c r="G103" s="3"/>
      <c r="H103" s="26"/>
      <c r="I103" s="3"/>
      <c r="J103" s="3"/>
    </row>
  </sheetData>
  <mergeCells count="122">
    <mergeCell ref="C103:E103"/>
    <mergeCell ref="F103:G103"/>
    <mergeCell ref="I103:J103"/>
    <mergeCell ref="C100:E100"/>
    <mergeCell ref="F100:G100"/>
    <mergeCell ref="I100:J100"/>
    <mergeCell ref="C101:E101"/>
    <mergeCell ref="F101:G101"/>
    <mergeCell ref="I101:J101"/>
    <mergeCell ref="C102:E102"/>
    <mergeCell ref="F102:G102"/>
    <mergeCell ref="I102:J102"/>
    <mergeCell ref="F93:J93"/>
    <mergeCell ref="F94:J94"/>
    <mergeCell ref="F95:J95"/>
    <mergeCell ref="A97:J97"/>
    <mergeCell ref="C98:E98"/>
    <mergeCell ref="F98:G98"/>
    <mergeCell ref="I98:J98"/>
    <mergeCell ref="C99:E99"/>
    <mergeCell ref="F99:G99"/>
    <mergeCell ref="I99:J99"/>
    <mergeCell ref="B84:F84"/>
    <mergeCell ref="H84:J84"/>
    <mergeCell ref="A86:J86"/>
    <mergeCell ref="F87:J87"/>
    <mergeCell ref="F88:J88"/>
    <mergeCell ref="F89:J89"/>
    <mergeCell ref="F90:J90"/>
    <mergeCell ref="F91:J91"/>
    <mergeCell ref="F92:J92"/>
    <mergeCell ref="D79:F79"/>
    <mergeCell ref="I79:J79"/>
    <mergeCell ref="D80:F80"/>
    <mergeCell ref="I80:J80"/>
    <mergeCell ref="D81:F81"/>
    <mergeCell ref="I81:J81"/>
    <mergeCell ref="D82:F82"/>
    <mergeCell ref="I82:J82"/>
    <mergeCell ref="D83:F83"/>
    <mergeCell ref="I83:J83"/>
    <mergeCell ref="A74:J74"/>
    <mergeCell ref="D75:F75"/>
    <mergeCell ref="I75:J75"/>
    <mergeCell ref="D76:F76"/>
    <mergeCell ref="I76:J76"/>
    <mergeCell ref="D77:F77"/>
    <mergeCell ref="I77:J77"/>
    <mergeCell ref="D78:F78"/>
    <mergeCell ref="I78:J78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I56:J56"/>
    <mergeCell ref="I57:J57"/>
    <mergeCell ref="B59:J59"/>
    <mergeCell ref="F60:J60"/>
    <mergeCell ref="F61:J61"/>
    <mergeCell ref="F62:J62"/>
    <mergeCell ref="F63:J63"/>
    <mergeCell ref="F64:J64"/>
    <mergeCell ref="A66:J66"/>
    <mergeCell ref="H46:J46"/>
    <mergeCell ref="H47:J47"/>
    <mergeCell ref="H48:J48"/>
    <mergeCell ref="B50:J50"/>
    <mergeCell ref="I51:J51"/>
    <mergeCell ref="I52:J52"/>
    <mergeCell ref="I53:J53"/>
    <mergeCell ref="I54:J54"/>
    <mergeCell ref="I55:J55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F28:J28"/>
    <mergeCell ref="F29:J29"/>
    <mergeCell ref="F30:J30"/>
    <mergeCell ref="F31:J31"/>
    <mergeCell ref="C32:D32"/>
    <mergeCell ref="F32:J32"/>
    <mergeCell ref="A34:J34"/>
    <mergeCell ref="B35:J35"/>
    <mergeCell ref="H36:J36"/>
    <mergeCell ref="C7:D7"/>
    <mergeCell ref="E7:F7"/>
    <mergeCell ref="G7:H7"/>
    <mergeCell ref="A9:J9"/>
    <mergeCell ref="A13:J13"/>
    <mergeCell ref="A24:J24"/>
    <mergeCell ref="F25:J25"/>
    <mergeCell ref="F26:J26"/>
    <mergeCell ref="F27:J27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G37:G48">
    <cfRule type="cellIs" dxfId="56" priority="5" operator="equal">
      <formula>"Đúng hạn"</formula>
    </cfRule>
    <cfRule type="cellIs" dxfId="55" priority="6" operator="equal">
      <formula>"Trễ"</formula>
    </cfRule>
  </conditionalFormatting>
  <conditionalFormatting sqref="G52:G57">
    <cfRule type="cellIs" dxfId="54" priority="7" operator="equal">
      <formula>"Cao"</formula>
    </cfRule>
  </conditionalFormatting>
  <conditionalFormatting sqref="H15:H22">
    <cfRule type="cellIs" dxfId="53" priority="2" operator="equal">
      <formula>"Đạt"</formula>
    </cfRule>
    <cfRule type="cellIs" dxfId="52" priority="3" operator="equal">
      <formula>"Cần chú ý"</formula>
    </cfRule>
    <cfRule type="cellIs" dxfId="51" priority="4" operator="equal">
      <formula>"Không đạt"</formula>
    </cfRule>
  </conditionalFormatting>
  <dataValidations count="5">
    <dataValidation type="decimal" allowBlank="1" showErrorMessage="1" errorTitle="Giá trị không hợp lệ" error="Nhập từ 0% đến 100%" sqref="G76:G83" xr:uid="{00000000-0002-0000-0200-000000000000}">
      <formula1>0</formula1>
      <formula2>1</formula2>
    </dataValidation>
    <dataValidation type="list" allowBlank="1" sqref="D15:D22" xr:uid="{00000000-0002-0000-0200-000001000000}">
      <formula1>"Cao hơn là tốt,Thấp hơn là tốt"</formula1>
      <formula2>0</formula2>
    </dataValidation>
    <dataValidation type="decimal" allowBlank="1" showErrorMessage="1" errorTitle="Giá trị không hợp lệ" error="Nhập điểm từ 0 đến 10" sqref="D26:D30" xr:uid="{00000000-0002-0000-0200-000002000000}">
      <formula1>0</formula1>
      <formula2>10</formula2>
    </dataValidation>
    <dataValidation type="list" allowBlank="1" sqref="H76:H83" xr:uid="{00000000-0002-0000-0200-000007000000}">
      <formula1>"1,2,3,4,5"</formula1>
      <formula2>0</formula2>
    </dataValidation>
    <dataValidation type="list" allowBlank="1" sqref="C88:C95" xr:uid="{00000000-0002-0000-0200-000008000000}">
      <formula1>"R,A,C,I"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3000000}">
          <x14:formula1>
            <xm:f>'Danh mục'!$K$5:$K$11</xm:f>
          </x14:formula1>
          <x14:formula2>
            <xm:f>0</xm:f>
          </x14:formula2>
          <xm:sqref>D37:D48 C76:C83</xm:sqref>
        </x14:dataValidation>
        <x14:dataValidation type="list" allowBlank="1" xr:uid="{00000000-0002-0000-0200-000004000000}">
          <x14:formula1>
            <xm:f>'Danh mục'!$D$5:$D$7</xm:f>
          </x14:formula1>
          <x14:formula2>
            <xm:f>0</xm:f>
          </x14:formula2>
          <xm:sqref>G52:G57</xm:sqref>
        </x14:dataValidation>
        <x14:dataValidation type="list" allowBlank="1" xr:uid="{00000000-0002-0000-0200-000005000000}">
          <x14:formula1>
            <xm:f>'Danh mục'!$I$5:$I$6</xm:f>
          </x14:formula1>
          <x14:formula2>
            <xm:f>0</xm:f>
          </x14:formula2>
          <xm:sqref>C61:C64</xm:sqref>
        </x14:dataValidation>
        <x14:dataValidation type="list" allowBlank="1" showInputMessage="1" showErrorMessage="1" xr:uid="{09888009-FB8A-49D3-B402-1CEBC4A68783}">
          <x14:formula1>
            <xm:f>'Danh mục'!$O$5:$O$100</xm:f>
          </x14:formula1>
          <xm:sqref>C37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J80"/>
  <sheetViews>
    <sheetView showGridLines="0" zoomScaleNormal="100" workbookViewId="0">
      <pane ySplit="2" topLeftCell="A40" activePane="bottomLeft" state="frozen"/>
      <selection pane="bottomLeft" activeCell="D35" sqref="D35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264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265</v>
      </c>
      <c r="D5" s="9"/>
      <c r="E5" s="8" t="s">
        <v>98</v>
      </c>
      <c r="F5" s="8"/>
      <c r="G5" s="9">
        <v>41</v>
      </c>
      <c r="H5" s="9"/>
    </row>
    <row r="6" spans="1:10" ht="19.5" customHeight="1" x14ac:dyDescent="0.3">
      <c r="B6" s="20" t="s">
        <v>99</v>
      </c>
      <c r="C6" s="7">
        <v>46300</v>
      </c>
      <c r="D6" s="7"/>
      <c r="E6" s="8" t="s">
        <v>100</v>
      </c>
      <c r="F6" s="8"/>
      <c r="G6" s="6">
        <f>C6+6</f>
        <v>46306</v>
      </c>
      <c r="H6" s="6"/>
    </row>
    <row r="7" spans="1:10" ht="19.5" customHeight="1" x14ac:dyDescent="0.3">
      <c r="B7" s="20" t="s">
        <v>101</v>
      </c>
      <c r="C7" s="9"/>
      <c r="D7" s="9"/>
      <c r="E7" s="8" t="s">
        <v>102</v>
      </c>
      <c r="F7" s="8"/>
      <c r="G7" s="9"/>
      <c r="H7" s="9"/>
    </row>
    <row r="8" spans="1:10" ht="19.5" customHeight="1" x14ac:dyDescent="0.3">
      <c r="B8" s="20" t="s">
        <v>103</v>
      </c>
      <c r="C8" s="9" t="s">
        <v>63</v>
      </c>
      <c r="D8" s="9"/>
      <c r="E8" s="8" t="s">
        <v>104</v>
      </c>
      <c r="F8" s="8"/>
      <c r="G8" s="9"/>
      <c r="H8" s="9"/>
    </row>
    <row r="10" spans="1:10" ht="19.5" customHeight="1" x14ac:dyDescent="0.3">
      <c r="A10" s="12" t="s">
        <v>105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30" customHeight="1" x14ac:dyDescent="0.3">
      <c r="B11" s="15" t="s">
        <v>106</v>
      </c>
      <c r="C11" s="15" t="s">
        <v>107</v>
      </c>
      <c r="D11" s="15" t="s">
        <v>108</v>
      </c>
      <c r="E11" s="15" t="s">
        <v>109</v>
      </c>
      <c r="F11" s="15" t="s">
        <v>110</v>
      </c>
      <c r="G11" s="15" t="s">
        <v>111</v>
      </c>
      <c r="H11" s="15" t="s">
        <v>112</v>
      </c>
      <c r="I11" s="5" t="s">
        <v>113</v>
      </c>
      <c r="J11" s="5"/>
    </row>
    <row r="12" spans="1:10" ht="21.75" customHeight="1" x14ac:dyDescent="0.3">
      <c r="B12" s="21">
        <f>COUNTA(B16:B30)</f>
        <v>1</v>
      </c>
      <c r="C12" s="22">
        <f>COUNTIF(F16:F30,"Done")</f>
        <v>1</v>
      </c>
      <c r="D12" s="22">
        <f>COUNTIF(F16:F30,"In Progress")</f>
        <v>0</v>
      </c>
      <c r="E12" s="22">
        <f>COUNTIF(F16:F30,"Blocked")</f>
        <v>0</v>
      </c>
      <c r="F12" s="22">
        <f>COUNTIF(F16:F30,"Pending")</f>
        <v>0</v>
      </c>
      <c r="G12" s="22">
        <f>COUNTIF(F16:F30,"Overdue")</f>
        <v>0</v>
      </c>
      <c r="H12" s="23">
        <f>IFERROR(AVERAGE(G16:G30),"")</f>
        <v>1</v>
      </c>
      <c r="I12" s="4">
        <f>IFERROR(C12/B12,"")</f>
        <v>1</v>
      </c>
      <c r="J12" s="4"/>
    </row>
    <row r="14" spans="1:10" ht="19.5" customHeight="1" x14ac:dyDescent="0.3">
      <c r="A14" s="12" t="s">
        <v>114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33.75" customHeight="1" x14ac:dyDescent="0.3">
      <c r="A15" s="15" t="s">
        <v>115</v>
      </c>
      <c r="B15" s="15" t="s">
        <v>74</v>
      </c>
      <c r="C15" s="15" t="s">
        <v>116</v>
      </c>
      <c r="D15" s="15" t="s">
        <v>117</v>
      </c>
      <c r="E15" s="15" t="s">
        <v>118</v>
      </c>
      <c r="F15" s="15" t="s">
        <v>50</v>
      </c>
      <c r="G15" s="15" t="s">
        <v>119</v>
      </c>
      <c r="H15" s="5" t="s">
        <v>120</v>
      </c>
      <c r="I15" s="5"/>
      <c r="J15" s="5"/>
    </row>
    <row r="16" spans="1:10" ht="30" customHeight="1" x14ac:dyDescent="0.3">
      <c r="A16" s="24">
        <v>1</v>
      </c>
      <c r="B16" s="17" t="s">
        <v>266</v>
      </c>
      <c r="C16" s="25" t="s">
        <v>267</v>
      </c>
      <c r="D16" s="17" t="s">
        <v>462</v>
      </c>
      <c r="E16" s="26">
        <v>46304</v>
      </c>
      <c r="F16" s="25" t="s">
        <v>107</v>
      </c>
      <c r="G16" s="27">
        <v>1</v>
      </c>
      <c r="H16" s="3" t="s">
        <v>268</v>
      </c>
      <c r="I16" s="3"/>
      <c r="J16" s="3"/>
    </row>
    <row r="17" spans="1:10" ht="30" customHeight="1" x14ac:dyDescent="0.3">
      <c r="A17" s="24">
        <v>2</v>
      </c>
      <c r="B17" s="17"/>
      <c r="C17" s="25"/>
      <c r="D17" s="17"/>
      <c r="E17" s="26"/>
      <c r="F17" s="25"/>
      <c r="G17" s="27"/>
      <c r="H17" s="3"/>
      <c r="I17" s="3"/>
      <c r="J17" s="3"/>
    </row>
    <row r="18" spans="1:10" ht="30" customHeight="1" x14ac:dyDescent="0.3">
      <c r="A18" s="24">
        <v>3</v>
      </c>
      <c r="B18" s="17"/>
      <c r="C18" s="25"/>
      <c r="D18" s="17"/>
      <c r="E18" s="26"/>
      <c r="F18" s="25"/>
      <c r="G18" s="27"/>
      <c r="H18" s="3"/>
      <c r="I18" s="3"/>
      <c r="J18" s="3"/>
    </row>
    <row r="19" spans="1:10" ht="30" customHeight="1" x14ac:dyDescent="0.3">
      <c r="A19" s="24">
        <v>4</v>
      </c>
      <c r="B19" s="17"/>
      <c r="C19" s="25"/>
      <c r="D19" s="17"/>
      <c r="E19" s="26"/>
      <c r="F19" s="25"/>
      <c r="G19" s="27"/>
      <c r="H19" s="3"/>
      <c r="I19" s="3"/>
      <c r="J19" s="3"/>
    </row>
    <row r="20" spans="1:10" ht="30" customHeight="1" x14ac:dyDescent="0.3">
      <c r="A20" s="24">
        <v>5</v>
      </c>
      <c r="B20" s="17"/>
      <c r="C20" s="25"/>
      <c r="D20" s="17"/>
      <c r="E20" s="26"/>
      <c r="F20" s="25"/>
      <c r="G20" s="27"/>
      <c r="H20" s="3"/>
      <c r="I20" s="3"/>
      <c r="J20" s="3"/>
    </row>
    <row r="21" spans="1:10" ht="30" customHeight="1" x14ac:dyDescent="0.3">
      <c r="A21" s="24">
        <v>6</v>
      </c>
      <c r="B21" s="17"/>
      <c r="C21" s="25"/>
      <c r="D21" s="17"/>
      <c r="E21" s="26"/>
      <c r="F21" s="25"/>
      <c r="G21" s="27"/>
      <c r="H21" s="3"/>
      <c r="I21" s="3"/>
      <c r="J21" s="3"/>
    </row>
    <row r="22" spans="1:10" ht="30" customHeight="1" x14ac:dyDescent="0.3">
      <c r="A22" s="24">
        <v>7</v>
      </c>
      <c r="B22" s="17"/>
      <c r="C22" s="25"/>
      <c r="D22" s="17"/>
      <c r="E22" s="26"/>
      <c r="F22" s="25"/>
      <c r="G22" s="27"/>
      <c r="H22" s="3"/>
      <c r="I22" s="3"/>
      <c r="J22" s="3"/>
    </row>
    <row r="23" spans="1:10" ht="30" customHeight="1" x14ac:dyDescent="0.3">
      <c r="A23" s="24">
        <v>8</v>
      </c>
      <c r="B23" s="17"/>
      <c r="C23" s="25"/>
      <c r="D23" s="17"/>
      <c r="E23" s="26"/>
      <c r="F23" s="25"/>
      <c r="G23" s="27"/>
      <c r="H23" s="3"/>
      <c r="I23" s="3"/>
      <c r="J23" s="3"/>
    </row>
    <row r="24" spans="1:10" ht="30" customHeight="1" x14ac:dyDescent="0.3">
      <c r="A24" s="24">
        <v>9</v>
      </c>
      <c r="B24" s="17"/>
      <c r="C24" s="25"/>
      <c r="D24" s="17"/>
      <c r="E24" s="26"/>
      <c r="F24" s="25"/>
      <c r="G24" s="27"/>
      <c r="H24" s="3"/>
      <c r="I24" s="3"/>
      <c r="J24" s="3"/>
    </row>
    <row r="25" spans="1:10" ht="30" customHeight="1" x14ac:dyDescent="0.3">
      <c r="A25" s="24">
        <v>10</v>
      </c>
      <c r="B25" s="17"/>
      <c r="C25" s="25"/>
      <c r="D25" s="17"/>
      <c r="E25" s="26"/>
      <c r="F25" s="25"/>
      <c r="G25" s="27"/>
      <c r="H25" s="3"/>
      <c r="I25" s="3"/>
      <c r="J25" s="3"/>
    </row>
    <row r="26" spans="1:10" ht="30" customHeight="1" x14ac:dyDescent="0.3">
      <c r="A26" s="24">
        <v>11</v>
      </c>
      <c r="B26" s="17"/>
      <c r="C26" s="25"/>
      <c r="D26" s="17"/>
      <c r="E26" s="26"/>
      <c r="F26" s="25"/>
      <c r="G26" s="27"/>
      <c r="H26" s="3"/>
      <c r="I26" s="3"/>
      <c r="J26" s="3"/>
    </row>
    <row r="27" spans="1:10" ht="30" customHeight="1" x14ac:dyDescent="0.3">
      <c r="A27" s="24">
        <v>12</v>
      </c>
      <c r="B27" s="17"/>
      <c r="C27" s="25"/>
      <c r="D27" s="17"/>
      <c r="E27" s="26"/>
      <c r="F27" s="25"/>
      <c r="G27" s="27"/>
      <c r="H27" s="3"/>
      <c r="I27" s="3"/>
      <c r="J27" s="3"/>
    </row>
    <row r="28" spans="1:10" ht="30" customHeight="1" x14ac:dyDescent="0.3">
      <c r="A28" s="24">
        <v>13</v>
      </c>
      <c r="B28" s="17"/>
      <c r="C28" s="25"/>
      <c r="D28" s="17"/>
      <c r="E28" s="26"/>
      <c r="F28" s="25"/>
      <c r="G28" s="27"/>
      <c r="H28" s="3"/>
      <c r="I28" s="3"/>
      <c r="J28" s="3"/>
    </row>
    <row r="29" spans="1:10" ht="30" customHeight="1" x14ac:dyDescent="0.3">
      <c r="A29" s="24">
        <v>14</v>
      </c>
      <c r="B29" s="17"/>
      <c r="C29" s="25"/>
      <c r="D29" s="17"/>
      <c r="E29" s="26"/>
      <c r="F29" s="25"/>
      <c r="G29" s="27"/>
      <c r="H29" s="3"/>
      <c r="I29" s="3"/>
      <c r="J29" s="3"/>
    </row>
    <row r="30" spans="1:10" ht="30" customHeight="1" x14ac:dyDescent="0.3">
      <c r="A30" s="24">
        <v>15</v>
      </c>
      <c r="B30" s="17"/>
      <c r="C30" s="25"/>
      <c r="D30" s="17"/>
      <c r="E30" s="26"/>
      <c r="F30" s="25"/>
      <c r="G30" s="27"/>
      <c r="H30" s="3"/>
      <c r="I30" s="3"/>
      <c r="J30" s="3"/>
    </row>
    <row r="31" spans="1:10" ht="15" customHeight="1" x14ac:dyDescent="0.3">
      <c r="B31" s="10" t="s">
        <v>125</v>
      </c>
      <c r="C31" s="10"/>
      <c r="D31" s="10"/>
      <c r="E31" s="10"/>
      <c r="F31" s="10"/>
      <c r="G31" s="10"/>
      <c r="H31" s="10"/>
      <c r="I31" s="10"/>
      <c r="J31" s="10"/>
    </row>
    <row r="33" spans="1:10" ht="19.5" customHeight="1" x14ac:dyDescent="0.3">
      <c r="A33" s="12" t="s">
        <v>126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33.75" customHeight="1" x14ac:dyDescent="0.3">
      <c r="A34" s="15" t="s">
        <v>115</v>
      </c>
      <c r="B34" s="15" t="s">
        <v>74</v>
      </c>
      <c r="C34" s="15" t="s">
        <v>127</v>
      </c>
      <c r="D34" s="15" t="s">
        <v>128</v>
      </c>
      <c r="E34" s="5" t="s">
        <v>129</v>
      </c>
      <c r="F34" s="5"/>
      <c r="G34" s="5" t="s">
        <v>130</v>
      </c>
      <c r="H34" s="5"/>
      <c r="I34" s="5" t="s">
        <v>131</v>
      </c>
      <c r="J34" s="5"/>
    </row>
    <row r="35" spans="1:10" ht="27.75" customHeight="1" x14ac:dyDescent="0.3">
      <c r="A35" s="24">
        <v>1</v>
      </c>
      <c r="B35" s="17" t="s">
        <v>269</v>
      </c>
      <c r="C35" s="17" t="s">
        <v>462</v>
      </c>
      <c r="D35" s="17" t="s">
        <v>462</v>
      </c>
      <c r="E35" s="3" t="s">
        <v>272</v>
      </c>
      <c r="F35" s="3"/>
      <c r="G35" s="3" t="s">
        <v>273</v>
      </c>
      <c r="H35" s="3"/>
      <c r="I35" s="3"/>
      <c r="J35" s="3"/>
    </row>
    <row r="36" spans="1:10" ht="27.75" customHeight="1" x14ac:dyDescent="0.3">
      <c r="A36" s="24">
        <v>2</v>
      </c>
      <c r="B36" s="17"/>
      <c r="C36" s="17"/>
      <c r="D36" s="17"/>
      <c r="E36" s="3"/>
      <c r="F36" s="3"/>
      <c r="G36" s="3"/>
      <c r="H36" s="3"/>
      <c r="I36" s="3"/>
      <c r="J36" s="3"/>
    </row>
    <row r="37" spans="1:10" ht="27.75" customHeight="1" x14ac:dyDescent="0.3">
      <c r="A37" s="24">
        <v>3</v>
      </c>
      <c r="B37" s="17"/>
      <c r="C37" s="17"/>
      <c r="D37" s="17"/>
      <c r="E37" s="3"/>
      <c r="F37" s="3"/>
      <c r="G37" s="3"/>
      <c r="H37" s="3"/>
      <c r="I37" s="3"/>
      <c r="J37" s="3"/>
    </row>
    <row r="38" spans="1:10" ht="27.75" customHeight="1" x14ac:dyDescent="0.3">
      <c r="A38" s="24">
        <v>4</v>
      </c>
      <c r="B38" s="17"/>
      <c r="C38" s="17"/>
      <c r="D38" s="17"/>
      <c r="E38" s="3"/>
      <c r="F38" s="3"/>
      <c r="G38" s="3"/>
      <c r="H38" s="3"/>
      <c r="I38" s="3"/>
      <c r="J38" s="3"/>
    </row>
    <row r="39" spans="1:10" ht="27.75" customHeight="1" x14ac:dyDescent="0.3">
      <c r="A39" s="24">
        <v>5</v>
      </c>
      <c r="B39" s="17"/>
      <c r="C39" s="17"/>
      <c r="D39" s="17"/>
      <c r="E39" s="3"/>
      <c r="F39" s="3"/>
      <c r="G39" s="3"/>
      <c r="H39" s="3"/>
      <c r="I39" s="3"/>
      <c r="J39" s="3"/>
    </row>
    <row r="40" spans="1:10" ht="27.75" customHeight="1" x14ac:dyDescent="0.3">
      <c r="A40" s="24">
        <v>6</v>
      </c>
      <c r="B40" s="17"/>
      <c r="C40" s="17"/>
      <c r="D40" s="17"/>
      <c r="E40" s="3"/>
      <c r="F40" s="3"/>
      <c r="G40" s="3"/>
      <c r="H40" s="3"/>
      <c r="I40" s="3"/>
      <c r="J40" s="3"/>
    </row>
    <row r="41" spans="1:10" ht="15" customHeight="1" x14ac:dyDescent="0.3">
      <c r="B41" s="10" t="s">
        <v>136</v>
      </c>
      <c r="C41" s="10"/>
      <c r="D41" s="10"/>
      <c r="E41" s="10"/>
      <c r="F41" s="10"/>
      <c r="G41" s="10"/>
      <c r="H41" s="10"/>
      <c r="I41" s="10"/>
      <c r="J41" s="10"/>
    </row>
    <row r="43" spans="1:10" ht="19.5" customHeight="1" x14ac:dyDescent="0.3">
      <c r="A43" s="12" t="s">
        <v>137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33.75" customHeight="1" x14ac:dyDescent="0.3">
      <c r="A44" s="15" t="s">
        <v>115</v>
      </c>
      <c r="B44" s="15" t="s">
        <v>138</v>
      </c>
      <c r="C44" s="15" t="s">
        <v>117</v>
      </c>
      <c r="D44" s="15" t="s">
        <v>139</v>
      </c>
      <c r="E44" s="15" t="s">
        <v>140</v>
      </c>
      <c r="F44" s="5" t="s">
        <v>141</v>
      </c>
      <c r="G44" s="5"/>
      <c r="H44" s="5" t="s">
        <v>142</v>
      </c>
      <c r="I44" s="5"/>
      <c r="J44" s="5"/>
    </row>
    <row r="45" spans="1:10" ht="30" customHeight="1" x14ac:dyDescent="0.3">
      <c r="A45" s="24">
        <v>1</v>
      </c>
      <c r="B45" s="17" t="s">
        <v>274</v>
      </c>
      <c r="C45" s="17" t="s">
        <v>144</v>
      </c>
      <c r="D45" s="25" t="s">
        <v>145</v>
      </c>
      <c r="E45" s="26">
        <v>46309</v>
      </c>
      <c r="F45" s="3" t="s">
        <v>275</v>
      </c>
      <c r="G45" s="3"/>
      <c r="H45" s="3" t="s">
        <v>276</v>
      </c>
      <c r="I45" s="3"/>
      <c r="J45" s="3"/>
    </row>
    <row r="46" spans="1:10" ht="30" customHeight="1" x14ac:dyDescent="0.3">
      <c r="A46" s="24">
        <v>2</v>
      </c>
      <c r="B46" s="17"/>
      <c r="C46" s="17"/>
      <c r="D46" s="25"/>
      <c r="E46" s="26"/>
      <c r="F46" s="3"/>
      <c r="G46" s="3"/>
      <c r="H46" s="3"/>
      <c r="I46" s="3"/>
      <c r="J46" s="3"/>
    </row>
    <row r="47" spans="1:10" ht="30" customHeight="1" x14ac:dyDescent="0.3">
      <c r="A47" s="24">
        <v>3</v>
      </c>
      <c r="B47" s="17"/>
      <c r="C47" s="17"/>
      <c r="D47" s="25"/>
      <c r="E47" s="26"/>
      <c r="F47" s="3"/>
      <c r="G47" s="3"/>
      <c r="H47" s="3"/>
      <c r="I47" s="3"/>
      <c r="J47" s="3"/>
    </row>
    <row r="48" spans="1:10" ht="30" customHeight="1" x14ac:dyDescent="0.3">
      <c r="A48" s="24">
        <v>4</v>
      </c>
      <c r="B48" s="17"/>
      <c r="C48" s="17"/>
      <c r="D48" s="25"/>
      <c r="E48" s="26"/>
      <c r="F48" s="3"/>
      <c r="G48" s="3"/>
      <c r="H48" s="3"/>
      <c r="I48" s="3"/>
      <c r="J48" s="3"/>
    </row>
    <row r="49" spans="1:10" ht="30" customHeight="1" x14ac:dyDescent="0.3">
      <c r="A49" s="24">
        <v>5</v>
      </c>
      <c r="B49" s="17"/>
      <c r="C49" s="17"/>
      <c r="D49" s="25"/>
      <c r="E49" s="26"/>
      <c r="F49" s="3"/>
      <c r="G49" s="3"/>
      <c r="H49" s="3"/>
      <c r="I49" s="3"/>
      <c r="J49" s="3"/>
    </row>
    <row r="50" spans="1:10" ht="30" customHeight="1" x14ac:dyDescent="0.3">
      <c r="A50" s="24">
        <v>6</v>
      </c>
      <c r="B50" s="17"/>
      <c r="C50" s="17"/>
      <c r="D50" s="25"/>
      <c r="E50" s="26"/>
      <c r="F50" s="3"/>
      <c r="G50" s="3"/>
      <c r="H50" s="3"/>
      <c r="I50" s="3"/>
      <c r="J50" s="3"/>
    </row>
    <row r="51" spans="1:10" ht="15" customHeight="1" x14ac:dyDescent="0.3">
      <c r="B51" s="10" t="s">
        <v>148</v>
      </c>
      <c r="C51" s="10"/>
      <c r="D51" s="10"/>
      <c r="E51" s="10"/>
      <c r="F51" s="10"/>
      <c r="G51" s="10"/>
      <c r="H51" s="10"/>
      <c r="I51" s="10"/>
      <c r="J51" s="10"/>
    </row>
    <row r="53" spans="1:10" ht="19.5" customHeight="1" x14ac:dyDescent="0.3">
      <c r="A53" s="12" t="s">
        <v>149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33.75" customHeight="1" x14ac:dyDescent="0.3">
      <c r="A54" s="15" t="s">
        <v>115</v>
      </c>
      <c r="B54" s="15" t="s">
        <v>74</v>
      </c>
      <c r="C54" s="15" t="s">
        <v>117</v>
      </c>
      <c r="D54" s="15" t="s">
        <v>118</v>
      </c>
      <c r="E54" s="15" t="s">
        <v>139</v>
      </c>
      <c r="F54" s="5" t="s">
        <v>150</v>
      </c>
      <c r="G54" s="5"/>
      <c r="H54" s="5"/>
      <c r="I54" s="5"/>
      <c r="J54" s="5"/>
    </row>
    <row r="55" spans="1:10" ht="30" customHeight="1" x14ac:dyDescent="0.3">
      <c r="A55" s="24">
        <v>1</v>
      </c>
      <c r="B55" s="17" t="s">
        <v>277</v>
      </c>
      <c r="C55" s="17" t="s">
        <v>278</v>
      </c>
      <c r="D55" s="26">
        <v>46315</v>
      </c>
      <c r="E55" s="25" t="s">
        <v>145</v>
      </c>
      <c r="F55" s="3" t="s">
        <v>279</v>
      </c>
      <c r="G55" s="3"/>
      <c r="H55" s="3"/>
      <c r="I55" s="3"/>
      <c r="J55" s="3"/>
    </row>
    <row r="56" spans="1:10" ht="30" customHeight="1" x14ac:dyDescent="0.3">
      <c r="A56" s="24">
        <v>2</v>
      </c>
      <c r="B56" s="17"/>
      <c r="C56" s="17"/>
      <c r="D56" s="26"/>
      <c r="E56" s="25"/>
      <c r="F56" s="3"/>
      <c r="G56" s="3"/>
      <c r="H56" s="3"/>
      <c r="I56" s="3"/>
      <c r="J56" s="3"/>
    </row>
    <row r="57" spans="1:10" ht="30" customHeight="1" x14ac:dyDescent="0.3">
      <c r="A57" s="24">
        <v>3</v>
      </c>
      <c r="B57" s="17"/>
      <c r="C57" s="17"/>
      <c r="D57" s="26"/>
      <c r="E57" s="25"/>
      <c r="F57" s="3"/>
      <c r="G57" s="3"/>
      <c r="H57" s="3"/>
      <c r="I57" s="3"/>
      <c r="J57" s="3"/>
    </row>
    <row r="58" spans="1:10" ht="30" customHeight="1" x14ac:dyDescent="0.3">
      <c r="A58" s="24">
        <v>4</v>
      </c>
      <c r="B58" s="17"/>
      <c r="C58" s="17"/>
      <c r="D58" s="26"/>
      <c r="E58" s="25"/>
      <c r="F58" s="3"/>
      <c r="G58" s="3"/>
      <c r="H58" s="3"/>
      <c r="I58" s="3"/>
      <c r="J58" s="3"/>
    </row>
    <row r="59" spans="1:10" ht="30" customHeight="1" x14ac:dyDescent="0.3">
      <c r="A59" s="24">
        <v>5</v>
      </c>
      <c r="B59" s="17"/>
      <c r="C59" s="17"/>
      <c r="D59" s="26"/>
      <c r="E59" s="25"/>
      <c r="F59" s="3"/>
      <c r="G59" s="3"/>
      <c r="H59" s="3"/>
      <c r="I59" s="3"/>
      <c r="J59" s="3"/>
    </row>
    <row r="60" spans="1:10" ht="30" customHeight="1" x14ac:dyDescent="0.3">
      <c r="A60" s="24">
        <v>6</v>
      </c>
      <c r="B60" s="17"/>
      <c r="C60" s="17"/>
      <c r="D60" s="26"/>
      <c r="E60" s="25"/>
      <c r="F60" s="3"/>
      <c r="G60" s="3"/>
      <c r="H60" s="3"/>
      <c r="I60" s="3"/>
      <c r="J60" s="3"/>
    </row>
    <row r="62" spans="1:10" ht="19.5" customHeight="1" x14ac:dyDescent="0.3">
      <c r="A62" s="12" t="s">
        <v>153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33.75" customHeight="1" x14ac:dyDescent="0.3">
      <c r="A63" s="15" t="s">
        <v>115</v>
      </c>
      <c r="B63" s="15" t="s">
        <v>154</v>
      </c>
      <c r="C63" s="5" t="s">
        <v>155</v>
      </c>
      <c r="D63" s="5"/>
      <c r="E63" s="5" t="s">
        <v>82</v>
      </c>
      <c r="F63" s="5"/>
      <c r="G63" s="5"/>
      <c r="H63" s="5" t="s">
        <v>156</v>
      </c>
      <c r="I63" s="5"/>
      <c r="J63" s="15" t="s">
        <v>157</v>
      </c>
    </row>
    <row r="64" spans="1:10" ht="30" customHeight="1" x14ac:dyDescent="0.3">
      <c r="A64" s="24">
        <v>1</v>
      </c>
      <c r="B64" s="17" t="s">
        <v>280</v>
      </c>
      <c r="C64" s="3" t="s">
        <v>281</v>
      </c>
      <c r="D64" s="3"/>
      <c r="E64" s="3" t="s">
        <v>282</v>
      </c>
      <c r="F64" s="3"/>
      <c r="G64" s="3"/>
      <c r="H64" s="3" t="s">
        <v>283</v>
      </c>
      <c r="I64" s="3"/>
      <c r="J64" s="26">
        <v>46308</v>
      </c>
    </row>
    <row r="65" spans="1:10" ht="30" customHeight="1" x14ac:dyDescent="0.3">
      <c r="A65" s="24">
        <v>2</v>
      </c>
      <c r="B65" s="17"/>
      <c r="C65" s="3"/>
      <c r="D65" s="3"/>
      <c r="E65" s="3"/>
      <c r="F65" s="3"/>
      <c r="G65" s="3"/>
      <c r="H65" s="3"/>
      <c r="I65" s="3"/>
      <c r="J65" s="26"/>
    </row>
    <row r="66" spans="1:10" ht="30" customHeight="1" x14ac:dyDescent="0.3">
      <c r="A66" s="24">
        <v>3</v>
      </c>
      <c r="B66" s="17"/>
      <c r="C66" s="3"/>
      <c r="D66" s="3"/>
      <c r="E66" s="3"/>
      <c r="F66" s="3"/>
      <c r="G66" s="3"/>
      <c r="H66" s="3"/>
      <c r="I66" s="3"/>
      <c r="J66" s="26"/>
    </row>
    <row r="67" spans="1:10" ht="30" customHeight="1" x14ac:dyDescent="0.3">
      <c r="A67" s="24">
        <v>4</v>
      </c>
      <c r="B67" s="17"/>
      <c r="C67" s="3"/>
      <c r="D67" s="3"/>
      <c r="E67" s="3"/>
      <c r="F67" s="3"/>
      <c r="G67" s="3"/>
      <c r="H67" s="3"/>
      <c r="I67" s="3"/>
      <c r="J67" s="26"/>
    </row>
    <row r="68" spans="1:10" ht="30" customHeight="1" x14ac:dyDescent="0.3">
      <c r="A68" s="24">
        <v>5</v>
      </c>
      <c r="B68" s="17"/>
      <c r="C68" s="3"/>
      <c r="D68" s="3"/>
      <c r="E68" s="3"/>
      <c r="F68" s="3"/>
      <c r="G68" s="3"/>
      <c r="H68" s="3"/>
      <c r="I68" s="3"/>
      <c r="J68" s="26"/>
    </row>
    <row r="70" spans="1:10" ht="19.5" customHeight="1" x14ac:dyDescent="0.3">
      <c r="A70" s="12" t="s">
        <v>162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33.75" customHeight="1" x14ac:dyDescent="0.3">
      <c r="A71" s="15" t="s">
        <v>115</v>
      </c>
      <c r="B71" s="15" t="s">
        <v>78</v>
      </c>
      <c r="C71" s="15" t="s">
        <v>163</v>
      </c>
      <c r="D71" s="15" t="s">
        <v>164</v>
      </c>
      <c r="E71" s="15" t="s">
        <v>165</v>
      </c>
      <c r="F71" s="15" t="s">
        <v>166</v>
      </c>
      <c r="G71" s="15" t="s">
        <v>119</v>
      </c>
      <c r="H71" s="15" t="s">
        <v>167</v>
      </c>
      <c r="I71" s="5" t="s">
        <v>131</v>
      </c>
      <c r="J71" s="5"/>
    </row>
    <row r="72" spans="1:10" ht="30" customHeight="1" x14ac:dyDescent="0.3">
      <c r="A72" s="24">
        <v>1</v>
      </c>
      <c r="B72" s="17" t="s">
        <v>284</v>
      </c>
      <c r="C72" s="17" t="s">
        <v>285</v>
      </c>
      <c r="D72" s="25" t="s">
        <v>170</v>
      </c>
      <c r="E72" s="25">
        <v>30</v>
      </c>
      <c r="F72" s="25">
        <v>32</v>
      </c>
      <c r="G72" s="28">
        <f t="shared" ref="G72:G79" si="0">IF(OR(E72="",F72=""),"",IF(E72=0,"",F72/E72))</f>
        <v>1.0666666666666667</v>
      </c>
      <c r="H72" s="22" t="str">
        <f>IF(G72="","",IF(D72="Thấp hơn là tốt",IF(G72&lt;=1,"Đạt",IF(G72&lt;='Danh mục'!$B$18,"Cần chú ý","Không đạt")),IF(G72&gt;=1,"Đạt",IF(G72&gt;='Danh mục'!$B$17,"Cần chú ý","Không đạt"))))</f>
        <v>Đạt</v>
      </c>
      <c r="I72" s="3"/>
      <c r="J72" s="3"/>
    </row>
    <row r="73" spans="1:10" ht="30" customHeight="1" x14ac:dyDescent="0.3">
      <c r="A73" s="24">
        <v>2</v>
      </c>
      <c r="B73" s="17" t="s">
        <v>286</v>
      </c>
      <c r="C73" s="17" t="s">
        <v>287</v>
      </c>
      <c r="D73" s="25" t="s">
        <v>170</v>
      </c>
      <c r="E73" s="25"/>
      <c r="F73" s="25"/>
      <c r="G73" s="28" t="str">
        <f t="shared" si="0"/>
        <v/>
      </c>
      <c r="H73" s="22" t="str">
        <f>IF(G73="","",IF(D73="Thấp hơn là tốt",IF(G73&lt;=1,"Đạt",IF(G73&lt;='Danh mục'!$B$18,"Cần chú ý","Không đạt")),IF(G73&gt;=1,"Đạt",IF(G73&gt;='Danh mục'!$B$17,"Cần chú ý","Không đạt"))))</f>
        <v/>
      </c>
      <c r="I73" s="3"/>
      <c r="J73" s="3"/>
    </row>
    <row r="74" spans="1:10" ht="30" customHeight="1" x14ac:dyDescent="0.3">
      <c r="A74" s="24">
        <v>3</v>
      </c>
      <c r="B74" s="17" t="s">
        <v>288</v>
      </c>
      <c r="C74" s="17" t="s">
        <v>289</v>
      </c>
      <c r="D74" s="25" t="s">
        <v>175</v>
      </c>
      <c r="E74" s="25"/>
      <c r="F74" s="25"/>
      <c r="G74" s="28" t="str">
        <f t="shared" si="0"/>
        <v/>
      </c>
      <c r="H74" s="22" t="str">
        <f>IF(G74="","",IF(D74="Thấp hơn là tốt",IF(G74&lt;=1,"Đạt",IF(G74&lt;='Danh mục'!$B$18,"Cần chú ý","Không đạt")),IF(G74&gt;=1,"Đạt",IF(G74&gt;='Danh mục'!$B$17,"Cần chú ý","Không đạt"))))</f>
        <v/>
      </c>
      <c r="I74" s="3"/>
      <c r="J74" s="3"/>
    </row>
    <row r="75" spans="1:10" ht="30" customHeight="1" x14ac:dyDescent="0.3">
      <c r="A75" s="24">
        <v>4</v>
      </c>
      <c r="B75" s="17" t="s">
        <v>290</v>
      </c>
      <c r="C75" s="17" t="s">
        <v>291</v>
      </c>
      <c r="D75" s="25" t="s">
        <v>175</v>
      </c>
      <c r="E75" s="25"/>
      <c r="F75" s="25"/>
      <c r="G75" s="28" t="str">
        <f t="shared" si="0"/>
        <v/>
      </c>
      <c r="H75" s="22" t="str">
        <f>IF(G75="","",IF(D75="Thấp hơn là tốt",IF(G75&lt;=1,"Đạt",IF(G75&lt;='Danh mục'!$B$18,"Cần chú ý","Không đạt")),IF(G75&gt;=1,"Đạt",IF(G75&gt;='Danh mục'!$B$17,"Cần chú ý","Không đạt"))))</f>
        <v/>
      </c>
      <c r="I75" s="3"/>
      <c r="J75" s="3"/>
    </row>
    <row r="76" spans="1:10" ht="30" customHeight="1" x14ac:dyDescent="0.3">
      <c r="A76" s="24">
        <v>5</v>
      </c>
      <c r="B76" s="17" t="s">
        <v>292</v>
      </c>
      <c r="C76" s="17" t="s">
        <v>179</v>
      </c>
      <c r="D76" s="25" t="s">
        <v>170</v>
      </c>
      <c r="E76" s="25"/>
      <c r="F76" s="25"/>
      <c r="G76" s="28" t="str">
        <f t="shared" si="0"/>
        <v/>
      </c>
      <c r="H76" s="22" t="str">
        <f>IF(G76="","",IF(D76="Thấp hơn là tốt",IF(G76&lt;=1,"Đạt",IF(G76&lt;='Danh mục'!$B$18,"Cần chú ý","Không đạt")),IF(G76&gt;=1,"Đạt",IF(G76&gt;='Danh mục'!$B$17,"Cần chú ý","Không đạt"))))</f>
        <v/>
      </c>
      <c r="I76" s="3"/>
      <c r="J76" s="3"/>
    </row>
    <row r="77" spans="1:10" ht="30" customHeight="1" x14ac:dyDescent="0.3">
      <c r="A77" s="24">
        <v>6</v>
      </c>
      <c r="B77" s="17" t="s">
        <v>293</v>
      </c>
      <c r="C77" s="17" t="s">
        <v>179</v>
      </c>
      <c r="D77" s="25" t="s">
        <v>170</v>
      </c>
      <c r="E77" s="25"/>
      <c r="F77" s="25"/>
      <c r="G77" s="28" t="str">
        <f t="shared" si="0"/>
        <v/>
      </c>
      <c r="H77" s="22" t="str">
        <f>IF(G77="","",IF(D77="Thấp hơn là tốt",IF(G77&lt;=1,"Đạt",IF(G77&lt;='Danh mục'!$B$18,"Cần chú ý","Không đạt")),IF(G77&gt;=1,"Đạt",IF(G77&gt;='Danh mục'!$B$17,"Cần chú ý","Không đạt"))))</f>
        <v/>
      </c>
      <c r="I77" s="3"/>
      <c r="J77" s="3"/>
    </row>
    <row r="78" spans="1:10" ht="30" customHeight="1" x14ac:dyDescent="0.3">
      <c r="A78" s="24">
        <v>7</v>
      </c>
      <c r="B78" s="17"/>
      <c r="C78" s="17"/>
      <c r="D78" s="25"/>
      <c r="E78" s="25"/>
      <c r="F78" s="25"/>
      <c r="G78" s="28" t="str">
        <f t="shared" si="0"/>
        <v/>
      </c>
      <c r="H78" s="22" t="str">
        <f>IF(G78="","",IF(D78="Thấp hơn là tốt",IF(G78&lt;=1,"Đạt",IF(G78&lt;='Danh mục'!$B$18,"Cần chú ý","Không đạt")),IF(G78&gt;=1,"Đạt",IF(G78&gt;='Danh mục'!$B$17,"Cần chú ý","Không đạt"))))</f>
        <v/>
      </c>
      <c r="I78" s="3"/>
      <c r="J78" s="3"/>
    </row>
    <row r="79" spans="1:10" ht="30" customHeight="1" x14ac:dyDescent="0.3">
      <c r="A79" s="24">
        <v>8</v>
      </c>
      <c r="B79" s="17"/>
      <c r="C79" s="17"/>
      <c r="D79" s="25"/>
      <c r="E79" s="25"/>
      <c r="F79" s="25"/>
      <c r="G79" s="28" t="str">
        <f t="shared" si="0"/>
        <v/>
      </c>
      <c r="H79" s="22" t="str">
        <f>IF(G79="","",IF(D79="Thấp hơn là tốt",IF(G79&lt;=1,"Đạt",IF(G79&lt;='Danh mục'!$B$18,"Cần chú ý","Không đạt")),IF(G79&gt;=1,"Đạt",IF(G79&gt;='Danh mục'!$B$17,"Cần chú ý","Không đạt"))))</f>
        <v/>
      </c>
      <c r="I79" s="3"/>
      <c r="J79" s="3"/>
    </row>
    <row r="80" spans="1:10" ht="15" customHeight="1" x14ac:dyDescent="0.3">
      <c r="B80" s="10" t="s">
        <v>182</v>
      </c>
      <c r="C80" s="10"/>
      <c r="D80" s="10"/>
      <c r="E80" s="10"/>
      <c r="F80" s="10"/>
      <c r="G80" s="10"/>
      <c r="H80" s="10"/>
      <c r="I80" s="10"/>
      <c r="J80" s="10"/>
    </row>
  </sheetData>
  <mergeCells count="113">
    <mergeCell ref="I79:J79"/>
    <mergeCell ref="B80:J80"/>
    <mergeCell ref="A70:J70"/>
    <mergeCell ref="I71:J71"/>
    <mergeCell ref="I72:J72"/>
    <mergeCell ref="I73:J73"/>
    <mergeCell ref="I74:J74"/>
    <mergeCell ref="I75:J75"/>
    <mergeCell ref="I76:J76"/>
    <mergeCell ref="I77:J77"/>
    <mergeCell ref="I78:J78"/>
    <mergeCell ref="C66:D66"/>
    <mergeCell ref="E66:G66"/>
    <mergeCell ref="H66:I66"/>
    <mergeCell ref="C67:D67"/>
    <mergeCell ref="E67:G67"/>
    <mergeCell ref="H67:I67"/>
    <mergeCell ref="C68:D68"/>
    <mergeCell ref="E68:G68"/>
    <mergeCell ref="H68:I68"/>
    <mergeCell ref="A62:J62"/>
    <mergeCell ref="C63:D63"/>
    <mergeCell ref="E63:G63"/>
    <mergeCell ref="H63:I63"/>
    <mergeCell ref="C64:D64"/>
    <mergeCell ref="E64:G64"/>
    <mergeCell ref="H64:I64"/>
    <mergeCell ref="C65:D65"/>
    <mergeCell ref="E65:G65"/>
    <mergeCell ref="H65:I65"/>
    <mergeCell ref="B51:J51"/>
    <mergeCell ref="A53:J53"/>
    <mergeCell ref="F54:J54"/>
    <mergeCell ref="F55:J55"/>
    <mergeCell ref="F56:J56"/>
    <mergeCell ref="F57:J57"/>
    <mergeCell ref="F58:J58"/>
    <mergeCell ref="F59:J59"/>
    <mergeCell ref="F60:J60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E40:F40"/>
    <mergeCell ref="G40:H40"/>
    <mergeCell ref="I40:J40"/>
    <mergeCell ref="B41:J41"/>
    <mergeCell ref="A43:J43"/>
    <mergeCell ref="F44:G44"/>
    <mergeCell ref="H44:J44"/>
    <mergeCell ref="F45:G45"/>
    <mergeCell ref="H45:J45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A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H23:J23"/>
    <mergeCell ref="H24:J24"/>
    <mergeCell ref="H25:J25"/>
    <mergeCell ref="H26:J26"/>
    <mergeCell ref="H27:J27"/>
    <mergeCell ref="H28:J28"/>
    <mergeCell ref="H29:J29"/>
    <mergeCell ref="H30:J30"/>
    <mergeCell ref="B31:J31"/>
    <mergeCell ref="A14:J14"/>
    <mergeCell ref="H15:J15"/>
    <mergeCell ref="H16:J16"/>
    <mergeCell ref="H17:J17"/>
    <mergeCell ref="H18:J18"/>
    <mergeCell ref="H19:J19"/>
    <mergeCell ref="H20:J20"/>
    <mergeCell ref="H21:J21"/>
    <mergeCell ref="H22:J22"/>
    <mergeCell ref="C7:D7"/>
    <mergeCell ref="E7:F7"/>
    <mergeCell ref="G7:H7"/>
    <mergeCell ref="C8:D8"/>
    <mergeCell ref="E8:F8"/>
    <mergeCell ref="G8:H8"/>
    <mergeCell ref="A10:J10"/>
    <mergeCell ref="I11:J11"/>
    <mergeCell ref="I12:J12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D45:D50">
    <cfRule type="cellIs" dxfId="50" priority="8" operator="equal">
      <formula>"Cao"</formula>
    </cfRule>
  </conditionalFormatting>
  <conditionalFormatting sqref="E16:E30">
    <cfRule type="expression" dxfId="49" priority="2">
      <formula>AND(E16&lt;&gt;"",E16&lt;TODAY(),$F16&lt;&gt;"Done")</formula>
    </cfRule>
  </conditionalFormatting>
  <conditionalFormatting sqref="E55:E60">
    <cfRule type="cellIs" dxfId="48" priority="9" operator="equal">
      <formula>"Cao"</formula>
    </cfRule>
  </conditionalFormatting>
  <conditionalFormatting sqref="F16:F30">
    <cfRule type="cellIs" dxfId="47" priority="3" operator="equal">
      <formula>"Done"</formula>
    </cfRule>
    <cfRule type="cellIs" dxfId="46" priority="4" operator="equal">
      <formula>"In Progress"</formula>
    </cfRule>
    <cfRule type="cellIs" dxfId="45" priority="5" operator="equal">
      <formula>"Blocked"</formula>
    </cfRule>
    <cfRule type="cellIs" dxfId="44" priority="6" operator="equal">
      <formula>"Pending"</formula>
    </cfRule>
    <cfRule type="cellIs" dxfId="43" priority="7" operator="equal">
      <formula>"Overdue"</formula>
    </cfRule>
  </conditionalFormatting>
  <conditionalFormatting sqref="H72:H79">
    <cfRule type="cellIs" dxfId="42" priority="10" operator="equal">
      <formula>"Đạt"</formula>
    </cfRule>
    <cfRule type="cellIs" dxfId="41" priority="11" operator="equal">
      <formula>"Cần chú ý"</formula>
    </cfRule>
    <cfRule type="cellIs" dxfId="40" priority="12" operator="equal">
      <formula>"Không đạt"</formula>
    </cfRule>
  </conditionalFormatting>
  <dataValidations count="2">
    <dataValidation type="decimal" allowBlank="1" showErrorMessage="1" errorTitle="Giá trị không hợp lệ" error="Nhập từ 0% đến 100%" sqref="G16:G30" xr:uid="{00000000-0002-0000-0300-000000000000}">
      <formula1>0</formula1>
      <formula2>1</formula2>
    </dataValidation>
    <dataValidation type="list" allowBlank="1" sqref="D72:D79" xr:uid="{00000000-0002-0000-0300-000005000000}">
      <formula1>"Cao hơn là tốt,Thấp hơn là tốt"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1000000}">
          <x14:formula1>
            <xm:f>'Danh mục'!$L$5:$L$11</xm:f>
          </x14:formula1>
          <x14:formula2>
            <xm:f>0</xm:f>
          </x14:formula2>
          <xm:sqref>C16:C30</xm:sqref>
        </x14:dataValidation>
        <x14:dataValidation type="list" allowBlank="1" xr:uid="{00000000-0002-0000-0300-000002000000}">
          <x14:formula1>
            <xm:f>'Danh mục'!$A$5:$A$9</xm:f>
          </x14:formula1>
          <x14:formula2>
            <xm:f>0</xm:f>
          </x14:formula2>
          <xm:sqref>F16:F30</xm:sqref>
        </x14:dataValidation>
        <x14:dataValidation type="list" allowBlank="1" xr:uid="{00000000-0002-0000-0300-000003000000}">
          <x14:formula1>
            <xm:f>'Danh mục'!$D$5:$D$7</xm:f>
          </x14:formula1>
          <x14:formula2>
            <xm:f>0</xm:f>
          </x14:formula2>
          <xm:sqref>D45:D50 E55:E60</xm:sqref>
        </x14:dataValidation>
        <x14:dataValidation type="list" allowBlank="1" showInputMessage="1" showErrorMessage="1" xr:uid="{D2B180AB-7D59-4556-83BA-7AC014BC3505}">
          <x14:formula1>
            <xm:f>'Danh mục'!$O$5:$O$100</xm:f>
          </x14:formula1>
          <xm:sqref>D16 C35:D35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J103"/>
  <sheetViews>
    <sheetView showGridLines="0" zoomScaleNormal="100" workbookViewId="0">
      <pane ySplit="2" topLeftCell="A3" activePane="bottomLeft" state="frozen"/>
      <selection pane="bottomLeft" activeCell="C37" sqref="C37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294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265</v>
      </c>
      <c r="D5" s="9"/>
      <c r="E5" s="8" t="s">
        <v>184</v>
      </c>
      <c r="F5" s="8"/>
      <c r="G5" s="9" t="s">
        <v>185</v>
      </c>
      <c r="H5" s="9"/>
    </row>
    <row r="6" spans="1:10" ht="19.5" customHeight="1" x14ac:dyDescent="0.3">
      <c r="B6" s="20" t="s">
        <v>101</v>
      </c>
      <c r="C6" s="9"/>
      <c r="D6" s="9"/>
      <c r="E6" s="8" t="s">
        <v>102</v>
      </c>
      <c r="F6" s="8"/>
      <c r="G6" s="9"/>
      <c r="H6" s="9"/>
    </row>
    <row r="7" spans="1:10" ht="19.5" customHeight="1" x14ac:dyDescent="0.3">
      <c r="B7" s="20" t="s">
        <v>103</v>
      </c>
      <c r="C7" s="9" t="s">
        <v>186</v>
      </c>
      <c r="D7" s="9"/>
      <c r="E7" s="8" t="s">
        <v>104</v>
      </c>
      <c r="F7" s="8"/>
      <c r="G7" s="9"/>
      <c r="H7" s="9"/>
    </row>
    <row r="9" spans="1:10" ht="19.5" customHeight="1" x14ac:dyDescent="0.3">
      <c r="A9" s="12" t="s">
        <v>187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 ht="30" customHeight="1" x14ac:dyDescent="0.3">
      <c r="B10" s="15" t="s">
        <v>188</v>
      </c>
      <c r="C10" s="15" t="s">
        <v>189</v>
      </c>
      <c r="D10" s="15" t="s">
        <v>190</v>
      </c>
      <c r="E10" s="15" t="s">
        <v>76</v>
      </c>
      <c r="F10" s="15" t="s">
        <v>191</v>
      </c>
      <c r="G10" s="15" t="s">
        <v>192</v>
      </c>
      <c r="H10" s="15" t="s">
        <v>193</v>
      </c>
    </row>
    <row r="11" spans="1:10" ht="21.75" customHeight="1" x14ac:dyDescent="0.3">
      <c r="B11" s="21" t="str">
        <f>COUNTIF(H15:H22,"Đạt")&amp;" / "&amp;COUNTIF(H15:H22,"?*")</f>
        <v>1 / 1</v>
      </c>
      <c r="C11" s="21">
        <f>COUNTA(B37:B48)</f>
        <v>1</v>
      </c>
      <c r="D11" s="23">
        <f>IFERROR(COUNTIF(G37:G48,"Đúng hạn")/COUNTIF(G37:G48,"?*"),"")</f>
        <v>1</v>
      </c>
      <c r="E11" s="21">
        <f>COUNTA(B52:B57)</f>
        <v>1</v>
      </c>
      <c r="F11" s="21">
        <f>COUNTA(B61:B64)</f>
        <v>1</v>
      </c>
      <c r="G11" s="29" t="str">
        <f>E31</f>
        <v/>
      </c>
      <c r="H11" s="21" t="str">
        <f>E32</f>
        <v/>
      </c>
    </row>
    <row r="13" spans="1:10" ht="19.5" customHeight="1" x14ac:dyDescent="0.3">
      <c r="A13" s="12" t="s">
        <v>194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33.75" customHeight="1" x14ac:dyDescent="0.3">
      <c r="A14" s="15" t="s">
        <v>115</v>
      </c>
      <c r="B14" s="15" t="s">
        <v>78</v>
      </c>
      <c r="C14" s="15" t="s">
        <v>163</v>
      </c>
      <c r="D14" s="15" t="s">
        <v>164</v>
      </c>
      <c r="E14" s="15" t="s">
        <v>165</v>
      </c>
      <c r="F14" s="15" t="s">
        <v>166</v>
      </c>
      <c r="G14" s="15" t="s">
        <v>119</v>
      </c>
      <c r="H14" s="15" t="s">
        <v>167</v>
      </c>
      <c r="I14" s="15" t="s">
        <v>195</v>
      </c>
      <c r="J14" s="15" t="s">
        <v>196</v>
      </c>
    </row>
    <row r="15" spans="1:10" ht="30" customHeight="1" x14ac:dyDescent="0.3">
      <c r="A15" s="24">
        <v>1</v>
      </c>
      <c r="B15" s="17" t="s">
        <v>284</v>
      </c>
      <c r="C15" s="17" t="s">
        <v>285</v>
      </c>
      <c r="D15" s="25" t="s">
        <v>170</v>
      </c>
      <c r="E15" s="25">
        <v>120</v>
      </c>
      <c r="F15" s="25">
        <v>130</v>
      </c>
      <c r="G15" s="28">
        <f t="shared" ref="G15:G22" si="0">IF(OR(E15="",F15=""),"",IF(E15=0,"",F15/E15))</f>
        <v>1.0833333333333333</v>
      </c>
      <c r="H15" s="22" t="str">
        <f>IF(G15="","",IF(D15="Thấp hơn là tốt",IF(G15&lt;=1,"Đạt",IF(G15&lt;='Danh mục'!$B$18,"Cần chú ý","Không đạt")),IF(G15&gt;=1,"Đạt",IF(G15&gt;='Danh mục'!$B$17,"Cần chú ý","Không đạt"))))</f>
        <v>Đạt</v>
      </c>
      <c r="I15" s="25">
        <v>115</v>
      </c>
      <c r="J15" s="30">
        <f t="shared" ref="J15:J22" si="1">IF(OR(F15="",I15=""),"",F15-I15)</f>
        <v>15</v>
      </c>
    </row>
    <row r="16" spans="1:10" ht="30" customHeight="1" x14ac:dyDescent="0.3">
      <c r="A16" s="24">
        <v>2</v>
      </c>
      <c r="B16" s="17" t="s">
        <v>295</v>
      </c>
      <c r="C16" s="17" t="s">
        <v>179</v>
      </c>
      <c r="D16" s="25" t="s">
        <v>170</v>
      </c>
      <c r="E16" s="25"/>
      <c r="F16" s="25"/>
      <c r="G16" s="28" t="str">
        <f t="shared" si="0"/>
        <v/>
      </c>
      <c r="H16" s="22" t="str">
        <f>IF(G16="","",IF(D16="Thấp hơn là tốt",IF(G16&lt;=1,"Đạt",IF(G16&lt;='Danh mục'!$B$18,"Cần chú ý","Không đạt")),IF(G16&gt;=1,"Đạt",IF(G16&gt;='Danh mục'!$B$17,"Cần chú ý","Không đạt"))))</f>
        <v/>
      </c>
      <c r="I16" s="25"/>
      <c r="J16" s="30" t="str">
        <f t="shared" si="1"/>
        <v/>
      </c>
    </row>
    <row r="17" spans="1:10" ht="30" customHeight="1" x14ac:dyDescent="0.3">
      <c r="A17" s="24">
        <v>3</v>
      </c>
      <c r="B17" s="17" t="s">
        <v>293</v>
      </c>
      <c r="C17" s="17" t="s">
        <v>179</v>
      </c>
      <c r="D17" s="25" t="s">
        <v>170</v>
      </c>
      <c r="E17" s="25"/>
      <c r="F17" s="25"/>
      <c r="G17" s="28" t="str">
        <f t="shared" si="0"/>
        <v/>
      </c>
      <c r="H17" s="22" t="str">
        <f>IF(G17="","",IF(D17="Thấp hơn là tốt",IF(G17&lt;=1,"Đạt",IF(G17&lt;='Danh mục'!$B$18,"Cần chú ý","Không đạt")),IF(G17&gt;=1,"Đạt",IF(G17&gt;='Danh mục'!$B$17,"Cần chú ý","Không đạt"))))</f>
        <v/>
      </c>
      <c r="I17" s="25"/>
      <c r="J17" s="30" t="str">
        <f t="shared" si="1"/>
        <v/>
      </c>
    </row>
    <row r="18" spans="1:10" ht="30" customHeight="1" x14ac:dyDescent="0.3">
      <c r="A18" s="24">
        <v>4</v>
      </c>
      <c r="B18" s="17" t="s">
        <v>296</v>
      </c>
      <c r="C18" s="17" t="s">
        <v>179</v>
      </c>
      <c r="D18" s="25" t="s">
        <v>175</v>
      </c>
      <c r="E18" s="25"/>
      <c r="F18" s="25"/>
      <c r="G18" s="28" t="str">
        <f t="shared" si="0"/>
        <v/>
      </c>
      <c r="H18" s="22" t="str">
        <f>IF(G18="","",IF(D18="Thấp hơn là tốt",IF(G18&lt;=1,"Đạt",IF(G18&lt;='Danh mục'!$B$18,"Cần chú ý","Không đạt")),IF(G18&gt;=1,"Đạt",IF(G18&gt;='Danh mục'!$B$17,"Cần chú ý","Không đạt"))))</f>
        <v/>
      </c>
      <c r="I18" s="25"/>
      <c r="J18" s="30" t="str">
        <f t="shared" si="1"/>
        <v/>
      </c>
    </row>
    <row r="19" spans="1:10" ht="30" customHeight="1" x14ac:dyDescent="0.3">
      <c r="A19" s="24">
        <v>5</v>
      </c>
      <c r="B19" s="17" t="s">
        <v>297</v>
      </c>
      <c r="C19" s="17" t="s">
        <v>289</v>
      </c>
      <c r="D19" s="25" t="s">
        <v>175</v>
      </c>
      <c r="E19" s="25"/>
      <c r="F19" s="25"/>
      <c r="G19" s="28" t="str">
        <f t="shared" si="0"/>
        <v/>
      </c>
      <c r="H19" s="22" t="str">
        <f>IF(G19="","",IF(D19="Thấp hơn là tốt",IF(G19&lt;=1,"Đạt",IF(G19&lt;='Danh mục'!$B$18,"Cần chú ý","Không đạt")),IF(G19&gt;=1,"Đạt",IF(G19&gt;='Danh mục'!$B$17,"Cần chú ý","Không đạt"))))</f>
        <v/>
      </c>
      <c r="I19" s="25"/>
      <c r="J19" s="30" t="str">
        <f t="shared" si="1"/>
        <v/>
      </c>
    </row>
    <row r="20" spans="1:10" ht="30" customHeight="1" x14ac:dyDescent="0.3">
      <c r="A20" s="24">
        <v>6</v>
      </c>
      <c r="B20" s="17" t="s">
        <v>298</v>
      </c>
      <c r="C20" s="17" t="s">
        <v>289</v>
      </c>
      <c r="D20" s="25" t="s">
        <v>175</v>
      </c>
      <c r="E20" s="25"/>
      <c r="F20" s="25"/>
      <c r="G20" s="28" t="str">
        <f t="shared" si="0"/>
        <v/>
      </c>
      <c r="H20" s="22" t="str">
        <f>IF(G20="","",IF(D20="Thấp hơn là tốt",IF(G20&lt;=1,"Đạt",IF(G20&lt;='Danh mục'!$B$18,"Cần chú ý","Không đạt")),IF(G20&gt;=1,"Đạt",IF(G20&gt;='Danh mục'!$B$17,"Cần chú ý","Không đạt"))))</f>
        <v/>
      </c>
      <c r="I20" s="25"/>
      <c r="J20" s="30" t="str">
        <f t="shared" si="1"/>
        <v/>
      </c>
    </row>
    <row r="21" spans="1:10" ht="30" customHeight="1" x14ac:dyDescent="0.3">
      <c r="A21" s="24">
        <v>7</v>
      </c>
      <c r="B21" s="17"/>
      <c r="C21" s="17"/>
      <c r="D21" s="25"/>
      <c r="E21" s="25"/>
      <c r="F21" s="25"/>
      <c r="G21" s="28" t="str">
        <f t="shared" si="0"/>
        <v/>
      </c>
      <c r="H21" s="22" t="str">
        <f>IF(G21="","",IF(D21="Thấp hơn là tốt",IF(G21&lt;=1,"Đạt",IF(G21&lt;='Danh mục'!$B$18,"Cần chú ý","Không đạt")),IF(G21&gt;=1,"Đạt",IF(G21&gt;='Danh mục'!$B$17,"Cần chú ý","Không đạt"))))</f>
        <v/>
      </c>
      <c r="I21" s="25"/>
      <c r="J21" s="30" t="str">
        <f t="shared" si="1"/>
        <v/>
      </c>
    </row>
    <row r="22" spans="1:10" ht="30" customHeight="1" x14ac:dyDescent="0.3">
      <c r="A22" s="24">
        <v>8</v>
      </c>
      <c r="B22" s="17"/>
      <c r="C22" s="17"/>
      <c r="D22" s="25"/>
      <c r="E22" s="25"/>
      <c r="F22" s="25"/>
      <c r="G22" s="28" t="str">
        <f t="shared" si="0"/>
        <v/>
      </c>
      <c r="H22" s="22" t="str">
        <f>IF(G22="","",IF(D22="Thấp hơn là tốt",IF(G22&lt;=1,"Đạt",IF(G22&lt;='Danh mục'!$B$18,"Cần chú ý","Không đạt")),IF(G22&gt;=1,"Đạt",IF(G22&gt;='Danh mục'!$B$17,"Cần chú ý","Không đạt"))))</f>
        <v/>
      </c>
      <c r="I22" s="25"/>
      <c r="J22" s="30" t="str">
        <f t="shared" si="1"/>
        <v/>
      </c>
    </row>
    <row r="24" spans="1:10" ht="19.5" customHeight="1" x14ac:dyDescent="0.3">
      <c r="A24" s="12" t="s">
        <v>199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33.75" customHeight="1" x14ac:dyDescent="0.3">
      <c r="A25" s="15" t="s">
        <v>115</v>
      </c>
      <c r="B25" s="15" t="s">
        <v>200</v>
      </c>
      <c r="C25" s="15" t="s">
        <v>201</v>
      </c>
      <c r="D25" s="15" t="s">
        <v>202</v>
      </c>
      <c r="E25" s="15" t="s">
        <v>203</v>
      </c>
      <c r="F25" s="5" t="s">
        <v>204</v>
      </c>
      <c r="G25" s="5"/>
      <c r="H25" s="5"/>
      <c r="I25" s="5"/>
      <c r="J25" s="5"/>
    </row>
    <row r="26" spans="1:10" ht="30" customHeight="1" x14ac:dyDescent="0.3">
      <c r="A26" s="24">
        <v>1</v>
      </c>
      <c r="B26" s="17" t="s">
        <v>205</v>
      </c>
      <c r="C26" s="27">
        <v>0.5</v>
      </c>
      <c r="D26" s="25"/>
      <c r="E26" s="31" t="str">
        <f>IF(D26="","",C26*D26)</f>
        <v/>
      </c>
      <c r="F26" s="3"/>
      <c r="G26" s="3"/>
      <c r="H26" s="3"/>
      <c r="I26" s="3"/>
      <c r="J26" s="3"/>
    </row>
    <row r="27" spans="1:10" ht="30" customHeight="1" x14ac:dyDescent="0.3">
      <c r="A27" s="24">
        <v>2</v>
      </c>
      <c r="B27" s="17" t="s">
        <v>206</v>
      </c>
      <c r="C27" s="27">
        <v>0.2</v>
      </c>
      <c r="D27" s="25"/>
      <c r="E27" s="31" t="str">
        <f>IF(D27="","",C27*D27)</f>
        <v/>
      </c>
      <c r="F27" s="3"/>
      <c r="G27" s="3"/>
      <c r="H27" s="3"/>
      <c r="I27" s="3"/>
      <c r="J27" s="3"/>
    </row>
    <row r="28" spans="1:10" ht="30" customHeight="1" x14ac:dyDescent="0.3">
      <c r="A28" s="24">
        <v>3</v>
      </c>
      <c r="B28" s="17" t="s">
        <v>207</v>
      </c>
      <c r="C28" s="27">
        <v>0.15</v>
      </c>
      <c r="D28" s="25"/>
      <c r="E28" s="31" t="str">
        <f>IF(D28="","",C28*D28)</f>
        <v/>
      </c>
      <c r="F28" s="3"/>
      <c r="G28" s="3"/>
      <c r="H28" s="3"/>
      <c r="I28" s="3"/>
      <c r="J28" s="3"/>
    </row>
    <row r="29" spans="1:10" ht="30" customHeight="1" x14ac:dyDescent="0.3">
      <c r="A29" s="24">
        <v>4</v>
      </c>
      <c r="B29" s="17" t="s">
        <v>208</v>
      </c>
      <c r="C29" s="27">
        <v>0.1</v>
      </c>
      <c r="D29" s="25"/>
      <c r="E29" s="31" t="str">
        <f>IF(D29="","",C29*D29)</f>
        <v/>
      </c>
      <c r="F29" s="3"/>
      <c r="G29" s="3"/>
      <c r="H29" s="3"/>
      <c r="I29" s="3"/>
      <c r="J29" s="3"/>
    </row>
    <row r="30" spans="1:10" ht="30" customHeight="1" x14ac:dyDescent="0.3">
      <c r="A30" s="24">
        <v>5</v>
      </c>
      <c r="B30" s="17" t="s">
        <v>209</v>
      </c>
      <c r="C30" s="27">
        <v>0.05</v>
      </c>
      <c r="D30" s="25"/>
      <c r="E30" s="31" t="str">
        <f>IF(D30="","",C30*D30)</f>
        <v/>
      </c>
      <c r="F30" s="3"/>
      <c r="G30" s="3"/>
      <c r="H30" s="3"/>
      <c r="I30" s="3"/>
      <c r="J30" s="3"/>
    </row>
    <row r="31" spans="1:10" x14ac:dyDescent="0.3">
      <c r="A31" s="32"/>
      <c r="B31" s="20" t="s">
        <v>210</v>
      </c>
      <c r="C31" s="23">
        <f>SUM(C26:C30)</f>
        <v>1</v>
      </c>
      <c r="D31" s="33"/>
      <c r="E31" s="29" t="str">
        <f>IF(COUNT(D26:D30)=0,"",SUM(E26:E30))</f>
        <v/>
      </c>
      <c r="F31" s="2" t="str">
        <f>IF(ROUND(C31,4)=1,"Trọng số hợp lệ (tổng 100%)","Tổng trọng số phải bằng 100%")</f>
        <v>Trọng số hợp lệ (tổng 100%)</v>
      </c>
      <c r="G31" s="2"/>
      <c r="H31" s="2"/>
      <c r="I31" s="2"/>
      <c r="J31" s="2"/>
    </row>
    <row r="32" spans="1:10" ht="15" customHeight="1" x14ac:dyDescent="0.3">
      <c r="A32" s="32"/>
      <c r="B32" s="20" t="s">
        <v>211</v>
      </c>
      <c r="C32" s="1"/>
      <c r="D32" s="1"/>
      <c r="E32" s="34" t="str">
        <f>IF(E31="","",IF(E31&gt;='Danh mục'!$B$19,"A",IF(E31&gt;='Danh mục'!$B$20,"B",IF(E31&gt;='Danh mục'!$B$21,"C","D"))))</f>
        <v/>
      </c>
      <c r="F32" s="10" t="s">
        <v>212</v>
      </c>
      <c r="G32" s="10"/>
      <c r="H32" s="10"/>
      <c r="I32" s="10"/>
      <c r="J32" s="10"/>
    </row>
    <row r="34" spans="1:10" ht="19.5" customHeight="1" x14ac:dyDescent="0.3">
      <c r="A34" s="12" t="s">
        <v>213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5" customHeight="1" x14ac:dyDescent="0.3">
      <c r="B35" s="37" t="s">
        <v>214</v>
      </c>
      <c r="C35" s="37"/>
      <c r="D35" s="37"/>
      <c r="E35" s="37"/>
      <c r="F35" s="37"/>
      <c r="G35" s="37"/>
      <c r="H35" s="37"/>
      <c r="I35" s="37"/>
      <c r="J35" s="37"/>
    </row>
    <row r="36" spans="1:10" ht="33.75" customHeight="1" x14ac:dyDescent="0.3">
      <c r="A36" s="15" t="s">
        <v>115</v>
      </c>
      <c r="B36" s="15" t="s">
        <v>74</v>
      </c>
      <c r="C36" s="15" t="s">
        <v>117</v>
      </c>
      <c r="D36" s="15" t="s">
        <v>116</v>
      </c>
      <c r="E36" s="15" t="s">
        <v>118</v>
      </c>
      <c r="F36" s="15" t="s">
        <v>215</v>
      </c>
      <c r="G36" s="15" t="s">
        <v>216</v>
      </c>
      <c r="H36" s="5" t="s">
        <v>217</v>
      </c>
      <c r="I36" s="5"/>
      <c r="J36" s="5"/>
    </row>
    <row r="37" spans="1:10" ht="30" customHeight="1" x14ac:dyDescent="0.3">
      <c r="A37" s="24">
        <v>1</v>
      </c>
      <c r="B37" s="17" t="s">
        <v>299</v>
      </c>
      <c r="C37" s="17" t="s">
        <v>123</v>
      </c>
      <c r="D37" s="25" t="s">
        <v>300</v>
      </c>
      <c r="E37" s="26">
        <v>46315</v>
      </c>
      <c r="F37" s="26">
        <v>46315</v>
      </c>
      <c r="G37" s="22" t="str">
        <f t="shared" ref="G37:G48" si="2">IF(OR(E37="",F37=""),"",IF(F37&lt;=E37,"Đúng hạn","Trễ"))</f>
        <v>Đúng hạn</v>
      </c>
      <c r="H37" s="3" t="s">
        <v>301</v>
      </c>
      <c r="I37" s="3"/>
      <c r="J37" s="3"/>
    </row>
    <row r="38" spans="1:10" ht="30" customHeight="1" x14ac:dyDescent="0.3">
      <c r="A38" s="24">
        <v>2</v>
      </c>
      <c r="B38" s="17"/>
      <c r="C38" s="17"/>
      <c r="D38" s="25"/>
      <c r="E38" s="26"/>
      <c r="F38" s="26"/>
      <c r="G38" s="22" t="str">
        <f t="shared" si="2"/>
        <v/>
      </c>
      <c r="H38" s="3"/>
      <c r="I38" s="3"/>
      <c r="J38" s="3"/>
    </row>
    <row r="39" spans="1:10" ht="30" customHeight="1" x14ac:dyDescent="0.3">
      <c r="A39" s="24">
        <v>3</v>
      </c>
      <c r="B39" s="17"/>
      <c r="C39" s="17"/>
      <c r="D39" s="25"/>
      <c r="E39" s="26"/>
      <c r="F39" s="26"/>
      <c r="G39" s="22" t="str">
        <f t="shared" si="2"/>
        <v/>
      </c>
      <c r="H39" s="3"/>
      <c r="I39" s="3"/>
      <c r="J39" s="3"/>
    </row>
    <row r="40" spans="1:10" ht="30" customHeight="1" x14ac:dyDescent="0.3">
      <c r="A40" s="24">
        <v>4</v>
      </c>
      <c r="B40" s="17"/>
      <c r="C40" s="17"/>
      <c r="D40" s="25"/>
      <c r="E40" s="26"/>
      <c r="F40" s="26"/>
      <c r="G40" s="22" t="str">
        <f t="shared" si="2"/>
        <v/>
      </c>
      <c r="H40" s="3"/>
      <c r="I40" s="3"/>
      <c r="J40" s="3"/>
    </row>
    <row r="41" spans="1:10" ht="30" customHeight="1" x14ac:dyDescent="0.3">
      <c r="A41" s="24">
        <v>5</v>
      </c>
      <c r="B41" s="17"/>
      <c r="C41" s="17"/>
      <c r="D41" s="25"/>
      <c r="E41" s="26"/>
      <c r="F41" s="26"/>
      <c r="G41" s="22" t="str">
        <f t="shared" si="2"/>
        <v/>
      </c>
      <c r="H41" s="3"/>
      <c r="I41" s="3"/>
      <c r="J41" s="3"/>
    </row>
    <row r="42" spans="1:10" ht="30" customHeight="1" x14ac:dyDescent="0.3">
      <c r="A42" s="24">
        <v>6</v>
      </c>
      <c r="B42" s="17"/>
      <c r="C42" s="17"/>
      <c r="D42" s="25"/>
      <c r="E42" s="26"/>
      <c r="F42" s="26"/>
      <c r="G42" s="22" t="str">
        <f t="shared" si="2"/>
        <v/>
      </c>
      <c r="H42" s="3"/>
      <c r="I42" s="3"/>
      <c r="J42" s="3"/>
    </row>
    <row r="43" spans="1:10" ht="30" customHeight="1" x14ac:dyDescent="0.3">
      <c r="A43" s="24">
        <v>7</v>
      </c>
      <c r="B43" s="17"/>
      <c r="C43" s="17"/>
      <c r="D43" s="25"/>
      <c r="E43" s="26"/>
      <c r="F43" s="26"/>
      <c r="G43" s="22" t="str">
        <f t="shared" si="2"/>
        <v/>
      </c>
      <c r="H43" s="3"/>
      <c r="I43" s="3"/>
      <c r="J43" s="3"/>
    </row>
    <row r="44" spans="1:10" ht="30" customHeight="1" x14ac:dyDescent="0.3">
      <c r="A44" s="24">
        <v>8</v>
      </c>
      <c r="B44" s="17"/>
      <c r="C44" s="17"/>
      <c r="D44" s="25"/>
      <c r="E44" s="26"/>
      <c r="F44" s="26"/>
      <c r="G44" s="22" t="str">
        <f t="shared" si="2"/>
        <v/>
      </c>
      <c r="H44" s="3"/>
      <c r="I44" s="3"/>
      <c r="J44" s="3"/>
    </row>
    <row r="45" spans="1:10" ht="30" customHeight="1" x14ac:dyDescent="0.3">
      <c r="A45" s="24">
        <v>9</v>
      </c>
      <c r="B45" s="17"/>
      <c r="C45" s="17"/>
      <c r="D45" s="25"/>
      <c r="E45" s="26"/>
      <c r="F45" s="26"/>
      <c r="G45" s="22" t="str">
        <f t="shared" si="2"/>
        <v/>
      </c>
      <c r="H45" s="3"/>
      <c r="I45" s="3"/>
      <c r="J45" s="3"/>
    </row>
    <row r="46" spans="1:10" ht="30" customHeight="1" x14ac:dyDescent="0.3">
      <c r="A46" s="24">
        <v>10</v>
      </c>
      <c r="B46" s="17"/>
      <c r="C46" s="17"/>
      <c r="D46" s="25"/>
      <c r="E46" s="26"/>
      <c r="F46" s="26"/>
      <c r="G46" s="22" t="str">
        <f t="shared" si="2"/>
        <v/>
      </c>
      <c r="H46" s="3"/>
      <c r="I46" s="3"/>
      <c r="J46" s="3"/>
    </row>
    <row r="47" spans="1:10" ht="30" customHeight="1" x14ac:dyDescent="0.3">
      <c r="A47" s="24">
        <v>11</v>
      </c>
      <c r="B47" s="17"/>
      <c r="C47" s="17"/>
      <c r="D47" s="25"/>
      <c r="E47" s="26"/>
      <c r="F47" s="26"/>
      <c r="G47" s="22" t="str">
        <f t="shared" si="2"/>
        <v/>
      </c>
      <c r="H47" s="3"/>
      <c r="I47" s="3"/>
      <c r="J47" s="3"/>
    </row>
    <row r="48" spans="1:10" ht="30" customHeight="1" x14ac:dyDescent="0.3">
      <c r="A48" s="24">
        <v>12</v>
      </c>
      <c r="B48" s="17"/>
      <c r="C48" s="17"/>
      <c r="D48" s="25"/>
      <c r="E48" s="26"/>
      <c r="F48" s="26"/>
      <c r="G48" s="22" t="str">
        <f t="shared" si="2"/>
        <v/>
      </c>
      <c r="H48" s="3"/>
      <c r="I48" s="3"/>
      <c r="J48" s="3"/>
    </row>
    <row r="50" spans="1:10" ht="15" customHeight="1" x14ac:dyDescent="0.3">
      <c r="B50" s="37" t="s">
        <v>221</v>
      </c>
      <c r="C50" s="37"/>
      <c r="D50" s="37"/>
      <c r="E50" s="37"/>
      <c r="F50" s="37"/>
      <c r="G50" s="37"/>
      <c r="H50" s="37"/>
      <c r="I50" s="37"/>
      <c r="J50" s="37"/>
    </row>
    <row r="51" spans="1:10" ht="33.75" customHeight="1" x14ac:dyDescent="0.3">
      <c r="A51" s="15" t="s">
        <v>115</v>
      </c>
      <c r="B51" s="15" t="s">
        <v>74</v>
      </c>
      <c r="C51" s="15" t="s">
        <v>117</v>
      </c>
      <c r="D51" s="15" t="s">
        <v>222</v>
      </c>
      <c r="E51" s="15" t="s">
        <v>140</v>
      </c>
      <c r="F51" s="15" t="s">
        <v>223</v>
      </c>
      <c r="G51" s="15" t="s">
        <v>139</v>
      </c>
      <c r="H51" s="15" t="s">
        <v>224</v>
      </c>
      <c r="I51" s="5" t="s">
        <v>142</v>
      </c>
      <c r="J51" s="5"/>
    </row>
    <row r="52" spans="1:10" ht="30" customHeight="1" x14ac:dyDescent="0.3">
      <c r="A52" s="24">
        <v>1</v>
      </c>
      <c r="B52" s="17" t="s">
        <v>302</v>
      </c>
      <c r="C52" s="17" t="s">
        <v>123</v>
      </c>
      <c r="D52" s="26">
        <v>46315</v>
      </c>
      <c r="E52" s="26">
        <v>46336</v>
      </c>
      <c r="F52" s="17" t="s">
        <v>303</v>
      </c>
      <c r="G52" s="25" t="s">
        <v>145</v>
      </c>
      <c r="H52" s="17" t="s">
        <v>304</v>
      </c>
      <c r="I52" s="3" t="s">
        <v>305</v>
      </c>
      <c r="J52" s="3"/>
    </row>
    <row r="53" spans="1:10" ht="30" customHeight="1" x14ac:dyDescent="0.3">
      <c r="A53" s="24">
        <v>2</v>
      </c>
      <c r="B53" s="17"/>
      <c r="C53" s="17"/>
      <c r="D53" s="26"/>
      <c r="E53" s="26"/>
      <c r="F53" s="17"/>
      <c r="G53" s="25"/>
      <c r="H53" s="17"/>
      <c r="I53" s="3"/>
      <c r="J53" s="3"/>
    </row>
    <row r="54" spans="1:10" ht="30" customHeight="1" x14ac:dyDescent="0.3">
      <c r="A54" s="24">
        <v>3</v>
      </c>
      <c r="B54" s="17"/>
      <c r="C54" s="17"/>
      <c r="D54" s="26"/>
      <c r="E54" s="26"/>
      <c r="F54" s="17"/>
      <c r="G54" s="25"/>
      <c r="H54" s="17"/>
      <c r="I54" s="3"/>
      <c r="J54" s="3"/>
    </row>
    <row r="55" spans="1:10" ht="30" customHeight="1" x14ac:dyDescent="0.3">
      <c r="A55" s="24">
        <v>4</v>
      </c>
      <c r="B55" s="17"/>
      <c r="C55" s="17"/>
      <c r="D55" s="26"/>
      <c r="E55" s="26"/>
      <c r="F55" s="17"/>
      <c r="G55" s="25"/>
      <c r="H55" s="17"/>
      <c r="I55" s="3"/>
      <c r="J55" s="3"/>
    </row>
    <row r="56" spans="1:10" ht="30" customHeight="1" x14ac:dyDescent="0.3">
      <c r="A56" s="24">
        <v>5</v>
      </c>
      <c r="B56" s="17"/>
      <c r="C56" s="17"/>
      <c r="D56" s="26"/>
      <c r="E56" s="26"/>
      <c r="F56" s="17"/>
      <c r="G56" s="25"/>
      <c r="H56" s="17"/>
      <c r="I56" s="3"/>
      <c r="J56" s="3"/>
    </row>
    <row r="57" spans="1:10" ht="30" customHeight="1" x14ac:dyDescent="0.3">
      <c r="A57" s="24">
        <v>6</v>
      </c>
      <c r="B57" s="17"/>
      <c r="C57" s="17"/>
      <c r="D57" s="26"/>
      <c r="E57" s="26"/>
      <c r="F57" s="17"/>
      <c r="G57" s="25"/>
      <c r="H57" s="17"/>
      <c r="I57" s="3"/>
      <c r="J57" s="3"/>
    </row>
    <row r="59" spans="1:10" ht="15" customHeight="1" x14ac:dyDescent="0.3">
      <c r="B59" s="37" t="s">
        <v>229</v>
      </c>
      <c r="C59" s="37"/>
      <c r="D59" s="37"/>
      <c r="E59" s="37"/>
      <c r="F59" s="37"/>
      <c r="G59" s="37"/>
      <c r="H59" s="37"/>
      <c r="I59" s="37"/>
      <c r="J59" s="37"/>
    </row>
    <row r="60" spans="1:10" ht="33.75" customHeight="1" x14ac:dyDescent="0.3">
      <c r="A60" s="15" t="s">
        <v>115</v>
      </c>
      <c r="B60" s="15" t="s">
        <v>74</v>
      </c>
      <c r="C60" s="15" t="s">
        <v>230</v>
      </c>
      <c r="D60" s="15" t="s">
        <v>231</v>
      </c>
      <c r="E60" s="15" t="s">
        <v>232</v>
      </c>
      <c r="F60" s="5" t="s">
        <v>224</v>
      </c>
      <c r="G60" s="5"/>
      <c r="H60" s="5"/>
      <c r="I60" s="5"/>
      <c r="J60" s="5"/>
    </row>
    <row r="61" spans="1:10" ht="30" customHeight="1" x14ac:dyDescent="0.3">
      <c r="A61" s="24">
        <v>1</v>
      </c>
      <c r="B61" s="17" t="s">
        <v>306</v>
      </c>
      <c r="C61" s="25" t="s">
        <v>234</v>
      </c>
      <c r="D61" s="17" t="s">
        <v>272</v>
      </c>
      <c r="E61" s="26">
        <v>46310</v>
      </c>
      <c r="F61" s="3" t="s">
        <v>307</v>
      </c>
      <c r="G61" s="3"/>
      <c r="H61" s="3"/>
      <c r="I61" s="3"/>
      <c r="J61" s="3"/>
    </row>
    <row r="62" spans="1:10" ht="30" customHeight="1" x14ac:dyDescent="0.3">
      <c r="A62" s="24">
        <v>2</v>
      </c>
      <c r="B62" s="17"/>
      <c r="C62" s="25"/>
      <c r="D62" s="17"/>
      <c r="E62" s="26"/>
      <c r="F62" s="3"/>
      <c r="G62" s="3"/>
      <c r="H62" s="3"/>
      <c r="I62" s="3"/>
      <c r="J62" s="3"/>
    </row>
    <row r="63" spans="1:10" ht="30" customHeight="1" x14ac:dyDescent="0.3">
      <c r="A63" s="24">
        <v>3</v>
      </c>
      <c r="B63" s="17"/>
      <c r="C63" s="25"/>
      <c r="D63" s="17"/>
      <c r="E63" s="26"/>
      <c r="F63" s="3"/>
      <c r="G63" s="3"/>
      <c r="H63" s="3"/>
      <c r="I63" s="3"/>
      <c r="J63" s="3"/>
    </row>
    <row r="64" spans="1:10" ht="30" customHeight="1" x14ac:dyDescent="0.3">
      <c r="A64" s="24">
        <v>4</v>
      </c>
      <c r="B64" s="17"/>
      <c r="C64" s="25"/>
      <c r="D64" s="17"/>
      <c r="E64" s="26"/>
      <c r="F64" s="3"/>
      <c r="G64" s="3"/>
      <c r="H64" s="3"/>
      <c r="I64" s="3"/>
      <c r="J64" s="3"/>
    </row>
    <row r="66" spans="1:10" ht="19.5" customHeight="1" x14ac:dyDescent="0.3">
      <c r="A66" s="12" t="s">
        <v>236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33.75" customHeight="1" x14ac:dyDescent="0.3">
      <c r="A67" s="15" t="s">
        <v>115</v>
      </c>
      <c r="B67" s="15" t="s">
        <v>154</v>
      </c>
      <c r="C67" s="5" t="s">
        <v>237</v>
      </c>
      <c r="D67" s="5"/>
      <c r="E67" s="5" t="s">
        <v>238</v>
      </c>
      <c r="F67" s="5"/>
      <c r="G67" s="5" t="s">
        <v>142</v>
      </c>
      <c r="H67" s="5"/>
      <c r="I67" s="15" t="s">
        <v>239</v>
      </c>
      <c r="J67" s="15" t="s">
        <v>118</v>
      </c>
    </row>
    <row r="68" spans="1:10" ht="30" customHeight="1" x14ac:dyDescent="0.3">
      <c r="A68" s="24">
        <v>1</v>
      </c>
      <c r="B68" s="17" t="s">
        <v>308</v>
      </c>
      <c r="C68" s="3" t="s">
        <v>309</v>
      </c>
      <c r="D68" s="3"/>
      <c r="E68" s="3" t="s">
        <v>310</v>
      </c>
      <c r="F68" s="3"/>
      <c r="G68" s="3" t="s">
        <v>311</v>
      </c>
      <c r="H68" s="3"/>
      <c r="I68" s="17" t="s">
        <v>271</v>
      </c>
      <c r="J68" s="26">
        <v>46341</v>
      </c>
    </row>
    <row r="69" spans="1:10" ht="30" customHeight="1" x14ac:dyDescent="0.3">
      <c r="A69" s="24">
        <v>2</v>
      </c>
      <c r="B69" s="17"/>
      <c r="C69" s="3"/>
      <c r="D69" s="3"/>
      <c r="E69" s="3"/>
      <c r="F69" s="3"/>
      <c r="G69" s="3"/>
      <c r="H69" s="3"/>
      <c r="I69" s="17"/>
      <c r="J69" s="26"/>
    </row>
    <row r="70" spans="1:10" ht="30" customHeight="1" x14ac:dyDescent="0.3">
      <c r="A70" s="24">
        <v>3</v>
      </c>
      <c r="B70" s="17"/>
      <c r="C70" s="3"/>
      <c r="D70" s="3"/>
      <c r="E70" s="3"/>
      <c r="F70" s="3"/>
      <c r="G70" s="3"/>
      <c r="H70" s="3"/>
      <c r="I70" s="17"/>
      <c r="J70" s="26"/>
    </row>
    <row r="71" spans="1:10" ht="30" customHeight="1" x14ac:dyDescent="0.3">
      <c r="A71" s="24">
        <v>4</v>
      </c>
      <c r="B71" s="17"/>
      <c r="C71" s="3"/>
      <c r="D71" s="3"/>
      <c r="E71" s="3"/>
      <c r="F71" s="3"/>
      <c r="G71" s="3"/>
      <c r="H71" s="3"/>
      <c r="I71" s="17"/>
      <c r="J71" s="26"/>
    </row>
    <row r="72" spans="1:10" ht="30" customHeight="1" x14ac:dyDescent="0.3">
      <c r="A72" s="24">
        <v>5</v>
      </c>
      <c r="B72" s="17"/>
      <c r="C72" s="3"/>
      <c r="D72" s="3"/>
      <c r="E72" s="3"/>
      <c r="F72" s="3"/>
      <c r="G72" s="3"/>
      <c r="H72" s="3"/>
      <c r="I72" s="17"/>
      <c r="J72" s="26"/>
    </row>
    <row r="74" spans="1:10" ht="19.5" customHeight="1" x14ac:dyDescent="0.3">
      <c r="A74" s="12" t="s">
        <v>244</v>
      </c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33.75" customHeight="1" x14ac:dyDescent="0.3">
      <c r="A75" s="15" t="s">
        <v>115</v>
      </c>
      <c r="B75" s="15" t="s">
        <v>245</v>
      </c>
      <c r="C75" s="15" t="s">
        <v>116</v>
      </c>
      <c r="D75" s="5" t="s">
        <v>246</v>
      </c>
      <c r="E75" s="5"/>
      <c r="F75" s="5"/>
      <c r="G75" s="15" t="s">
        <v>247</v>
      </c>
      <c r="H75" s="15" t="s">
        <v>248</v>
      </c>
      <c r="I75" s="5" t="s">
        <v>249</v>
      </c>
      <c r="J75" s="5"/>
    </row>
    <row r="76" spans="1:10" ht="30" customHeight="1" x14ac:dyDescent="0.3">
      <c r="A76" s="24">
        <v>1</v>
      </c>
      <c r="B76" s="17" t="s">
        <v>123</v>
      </c>
      <c r="C76" s="25" t="s">
        <v>267</v>
      </c>
      <c r="D76" s="3" t="s">
        <v>312</v>
      </c>
      <c r="E76" s="3"/>
      <c r="F76" s="3"/>
      <c r="G76" s="27">
        <v>0.4</v>
      </c>
      <c r="H76" s="25">
        <v>4</v>
      </c>
      <c r="I76" s="3" t="s">
        <v>313</v>
      </c>
      <c r="J76" s="3"/>
    </row>
    <row r="77" spans="1:10" ht="30" customHeight="1" x14ac:dyDescent="0.3">
      <c r="A77" s="24">
        <v>2</v>
      </c>
      <c r="B77" s="17"/>
      <c r="C77" s="25"/>
      <c r="D77" s="3"/>
      <c r="E77" s="3"/>
      <c r="F77" s="3"/>
      <c r="G77" s="27"/>
      <c r="H77" s="25"/>
      <c r="I77" s="3"/>
      <c r="J77" s="3"/>
    </row>
    <row r="78" spans="1:10" ht="30" customHeight="1" x14ac:dyDescent="0.3">
      <c r="A78" s="24">
        <v>3</v>
      </c>
      <c r="B78" s="17"/>
      <c r="C78" s="25"/>
      <c r="D78" s="3"/>
      <c r="E78" s="3"/>
      <c r="F78" s="3"/>
      <c r="G78" s="27"/>
      <c r="H78" s="25"/>
      <c r="I78" s="3"/>
      <c r="J78" s="3"/>
    </row>
    <row r="79" spans="1:10" ht="30" customHeight="1" x14ac:dyDescent="0.3">
      <c r="A79" s="24">
        <v>4</v>
      </c>
      <c r="B79" s="17"/>
      <c r="C79" s="25"/>
      <c r="D79" s="3"/>
      <c r="E79" s="3"/>
      <c r="F79" s="3"/>
      <c r="G79" s="27"/>
      <c r="H79" s="25"/>
      <c r="I79" s="3"/>
      <c r="J79" s="3"/>
    </row>
    <row r="80" spans="1:10" ht="30" customHeight="1" x14ac:dyDescent="0.3">
      <c r="A80" s="24">
        <v>5</v>
      </c>
      <c r="B80" s="17"/>
      <c r="C80" s="25"/>
      <c r="D80" s="3"/>
      <c r="E80" s="3"/>
      <c r="F80" s="3"/>
      <c r="G80" s="27"/>
      <c r="H80" s="25"/>
      <c r="I80" s="3"/>
      <c r="J80" s="3"/>
    </row>
    <row r="81" spans="1:10" ht="30" customHeight="1" x14ac:dyDescent="0.3">
      <c r="A81" s="24">
        <v>6</v>
      </c>
      <c r="B81" s="17"/>
      <c r="C81" s="25"/>
      <c r="D81" s="3"/>
      <c r="E81" s="3"/>
      <c r="F81" s="3"/>
      <c r="G81" s="27"/>
      <c r="H81" s="25"/>
      <c r="I81" s="3"/>
      <c r="J81" s="3"/>
    </row>
    <row r="82" spans="1:10" ht="30" customHeight="1" x14ac:dyDescent="0.3">
      <c r="A82" s="24">
        <v>7</v>
      </c>
      <c r="B82" s="17"/>
      <c r="C82" s="25"/>
      <c r="D82" s="3"/>
      <c r="E82" s="3"/>
      <c r="F82" s="3"/>
      <c r="G82" s="27"/>
      <c r="H82" s="25"/>
      <c r="I82" s="3"/>
      <c r="J82" s="3"/>
    </row>
    <row r="83" spans="1:10" ht="30" customHeight="1" x14ac:dyDescent="0.3">
      <c r="A83" s="24">
        <v>8</v>
      </c>
      <c r="B83" s="17"/>
      <c r="C83" s="25"/>
      <c r="D83" s="3"/>
      <c r="E83" s="3"/>
      <c r="F83" s="3"/>
      <c r="G83" s="27"/>
      <c r="H83" s="25"/>
      <c r="I83" s="3"/>
      <c r="J83" s="3"/>
    </row>
    <row r="84" spans="1:10" ht="15" customHeight="1" x14ac:dyDescent="0.3">
      <c r="A84" s="32"/>
      <c r="B84" s="8" t="s">
        <v>252</v>
      </c>
      <c r="C84" s="8"/>
      <c r="D84" s="8"/>
      <c r="E84" s="8"/>
      <c r="F84" s="8"/>
      <c r="G84" s="23">
        <f>SUM(G76:G83)</f>
        <v>0.4</v>
      </c>
      <c r="H84" s="2" t="str">
        <f>IF(G84=0,"",IF(ROUND(G84,4)=1,"Đủ 100%","Chưa đủ 100%"))</f>
        <v>Chưa đủ 100%</v>
      </c>
      <c r="I84" s="2"/>
      <c r="J84" s="2"/>
    </row>
    <row r="86" spans="1:10" ht="19.5" customHeight="1" x14ac:dyDescent="0.3">
      <c r="A86" s="12" t="s">
        <v>253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33.75" customHeight="1" x14ac:dyDescent="0.3">
      <c r="A87" s="15" t="s">
        <v>115</v>
      </c>
      <c r="B87" s="15" t="s">
        <v>254</v>
      </c>
      <c r="C87" s="15" t="s">
        <v>255</v>
      </c>
      <c r="D87" s="15" t="s">
        <v>117</v>
      </c>
      <c r="E87" s="15" t="s">
        <v>118</v>
      </c>
      <c r="F87" s="5" t="s">
        <v>256</v>
      </c>
      <c r="G87" s="5"/>
      <c r="H87" s="5"/>
      <c r="I87" s="5"/>
      <c r="J87" s="5"/>
    </row>
    <row r="88" spans="1:10" ht="30" customHeight="1" x14ac:dyDescent="0.3">
      <c r="A88" s="24">
        <v>1</v>
      </c>
      <c r="B88" s="17" t="s">
        <v>314</v>
      </c>
      <c r="C88" s="25" t="s">
        <v>258</v>
      </c>
      <c r="D88" s="17" t="s">
        <v>123</v>
      </c>
      <c r="E88" s="26">
        <v>46331</v>
      </c>
      <c r="F88" s="3" t="s">
        <v>315</v>
      </c>
      <c r="G88" s="3"/>
      <c r="H88" s="3"/>
      <c r="I88" s="3"/>
      <c r="J88" s="3"/>
    </row>
    <row r="89" spans="1:10" ht="30" customHeight="1" x14ac:dyDescent="0.3">
      <c r="A89" s="24">
        <v>2</v>
      </c>
      <c r="B89" s="17"/>
      <c r="C89" s="25"/>
      <c r="D89" s="17"/>
      <c r="E89" s="26"/>
      <c r="F89" s="3"/>
      <c r="G89" s="3"/>
      <c r="H89" s="3"/>
      <c r="I89" s="3"/>
      <c r="J89" s="3"/>
    </row>
    <row r="90" spans="1:10" ht="30" customHeight="1" x14ac:dyDescent="0.3">
      <c r="A90" s="24">
        <v>3</v>
      </c>
      <c r="B90" s="17"/>
      <c r="C90" s="25"/>
      <c r="D90" s="17"/>
      <c r="E90" s="26"/>
      <c r="F90" s="3"/>
      <c r="G90" s="3"/>
      <c r="H90" s="3"/>
      <c r="I90" s="3"/>
      <c r="J90" s="3"/>
    </row>
    <row r="91" spans="1:10" ht="30" customHeight="1" x14ac:dyDescent="0.3">
      <c r="A91" s="24">
        <v>4</v>
      </c>
      <c r="B91" s="17"/>
      <c r="C91" s="25"/>
      <c r="D91" s="17"/>
      <c r="E91" s="26"/>
      <c r="F91" s="3"/>
      <c r="G91" s="3"/>
      <c r="H91" s="3"/>
      <c r="I91" s="3"/>
      <c r="J91" s="3"/>
    </row>
    <row r="92" spans="1:10" ht="30" customHeight="1" x14ac:dyDescent="0.3">
      <c r="A92" s="24">
        <v>5</v>
      </c>
      <c r="B92" s="17"/>
      <c r="C92" s="25"/>
      <c r="D92" s="17"/>
      <c r="E92" s="26"/>
      <c r="F92" s="3"/>
      <c r="G92" s="3"/>
      <c r="H92" s="3"/>
      <c r="I92" s="3"/>
      <c r="J92" s="3"/>
    </row>
    <row r="93" spans="1:10" ht="30" customHeight="1" x14ac:dyDescent="0.3">
      <c r="A93" s="24">
        <v>6</v>
      </c>
      <c r="B93" s="17"/>
      <c r="C93" s="25"/>
      <c r="D93" s="17"/>
      <c r="E93" s="26"/>
      <c r="F93" s="3"/>
      <c r="G93" s="3"/>
      <c r="H93" s="3"/>
      <c r="I93" s="3"/>
      <c r="J93" s="3"/>
    </row>
    <row r="94" spans="1:10" ht="30" customHeight="1" x14ac:dyDescent="0.3">
      <c r="A94" s="24">
        <v>7</v>
      </c>
      <c r="B94" s="17"/>
      <c r="C94" s="25"/>
      <c r="D94" s="17"/>
      <c r="E94" s="26"/>
      <c r="F94" s="3"/>
      <c r="G94" s="3"/>
      <c r="H94" s="3"/>
      <c r="I94" s="3"/>
      <c r="J94" s="3"/>
    </row>
    <row r="95" spans="1:10" ht="30" customHeight="1" x14ac:dyDescent="0.3">
      <c r="A95" s="24">
        <v>8</v>
      </c>
      <c r="B95" s="17"/>
      <c r="C95" s="25"/>
      <c r="D95" s="17"/>
      <c r="E95" s="26"/>
      <c r="F95" s="3"/>
      <c r="G95" s="3"/>
      <c r="H95" s="3"/>
      <c r="I95" s="3"/>
      <c r="J95" s="3"/>
    </row>
    <row r="97" spans="1:10" ht="19.5" customHeight="1" x14ac:dyDescent="0.3">
      <c r="A97" s="12" t="s">
        <v>260</v>
      </c>
      <c r="B97" s="12"/>
      <c r="C97" s="12"/>
      <c r="D97" s="12"/>
      <c r="E97" s="12"/>
      <c r="F97" s="12"/>
      <c r="G97" s="12"/>
      <c r="H97" s="12"/>
      <c r="I97" s="12"/>
      <c r="J97" s="12"/>
    </row>
    <row r="98" spans="1:10" ht="33.75" customHeight="1" x14ac:dyDescent="0.3">
      <c r="A98" s="15" t="s">
        <v>115</v>
      </c>
      <c r="B98" s="15" t="s">
        <v>82</v>
      </c>
      <c r="C98" s="5" t="s">
        <v>224</v>
      </c>
      <c r="D98" s="5"/>
      <c r="E98" s="5"/>
      <c r="F98" s="5" t="s">
        <v>261</v>
      </c>
      <c r="G98" s="5"/>
      <c r="H98" s="15" t="s">
        <v>118</v>
      </c>
      <c r="I98" s="5" t="s">
        <v>131</v>
      </c>
      <c r="J98" s="5"/>
    </row>
    <row r="99" spans="1:10" ht="30" customHeight="1" x14ac:dyDescent="0.3">
      <c r="A99" s="24">
        <v>1</v>
      </c>
      <c r="B99" s="17" t="s">
        <v>316</v>
      </c>
      <c r="C99" s="3" t="s">
        <v>317</v>
      </c>
      <c r="D99" s="3"/>
      <c r="E99" s="3"/>
      <c r="F99" s="3" t="s">
        <v>272</v>
      </c>
      <c r="G99" s="3"/>
      <c r="H99" s="26">
        <v>46336</v>
      </c>
      <c r="I99" s="3"/>
      <c r="J99" s="3"/>
    </row>
    <row r="100" spans="1:10" ht="30" customHeight="1" x14ac:dyDescent="0.3">
      <c r="A100" s="24">
        <v>2</v>
      </c>
      <c r="B100" s="17"/>
      <c r="C100" s="3"/>
      <c r="D100" s="3"/>
      <c r="E100" s="3"/>
      <c r="F100" s="3"/>
      <c r="G100" s="3"/>
      <c r="H100" s="26"/>
      <c r="I100" s="3"/>
      <c r="J100" s="3"/>
    </row>
    <row r="101" spans="1:10" ht="30" customHeight="1" x14ac:dyDescent="0.3">
      <c r="A101" s="24">
        <v>3</v>
      </c>
      <c r="B101" s="17"/>
      <c r="C101" s="3"/>
      <c r="D101" s="3"/>
      <c r="E101" s="3"/>
      <c r="F101" s="3"/>
      <c r="G101" s="3"/>
      <c r="H101" s="26"/>
      <c r="I101" s="3"/>
      <c r="J101" s="3"/>
    </row>
    <row r="102" spans="1:10" ht="30" customHeight="1" x14ac:dyDescent="0.3">
      <c r="A102" s="24">
        <v>4</v>
      </c>
      <c r="B102" s="17"/>
      <c r="C102" s="3"/>
      <c r="D102" s="3"/>
      <c r="E102" s="3"/>
      <c r="F102" s="3"/>
      <c r="G102" s="3"/>
      <c r="H102" s="26"/>
      <c r="I102" s="3"/>
      <c r="J102" s="3"/>
    </row>
    <row r="103" spans="1:10" ht="30" customHeight="1" x14ac:dyDescent="0.3">
      <c r="A103" s="24">
        <v>5</v>
      </c>
      <c r="B103" s="17"/>
      <c r="C103" s="3"/>
      <c r="D103" s="3"/>
      <c r="E103" s="3"/>
      <c r="F103" s="3"/>
      <c r="G103" s="3"/>
      <c r="H103" s="26"/>
      <c r="I103" s="3"/>
      <c r="J103" s="3"/>
    </row>
  </sheetData>
  <mergeCells count="122">
    <mergeCell ref="C103:E103"/>
    <mergeCell ref="F103:G103"/>
    <mergeCell ref="I103:J103"/>
    <mergeCell ref="C100:E100"/>
    <mergeCell ref="F100:G100"/>
    <mergeCell ref="I100:J100"/>
    <mergeCell ref="C101:E101"/>
    <mergeCell ref="F101:G101"/>
    <mergeCell ref="I101:J101"/>
    <mergeCell ref="C102:E102"/>
    <mergeCell ref="F102:G102"/>
    <mergeCell ref="I102:J102"/>
    <mergeCell ref="F93:J93"/>
    <mergeCell ref="F94:J94"/>
    <mergeCell ref="F95:J95"/>
    <mergeCell ref="A97:J97"/>
    <mergeCell ref="C98:E98"/>
    <mergeCell ref="F98:G98"/>
    <mergeCell ref="I98:J98"/>
    <mergeCell ref="C99:E99"/>
    <mergeCell ref="F99:G99"/>
    <mergeCell ref="I99:J99"/>
    <mergeCell ref="B84:F84"/>
    <mergeCell ref="H84:J84"/>
    <mergeCell ref="A86:J86"/>
    <mergeCell ref="F87:J87"/>
    <mergeCell ref="F88:J88"/>
    <mergeCell ref="F89:J89"/>
    <mergeCell ref="F90:J90"/>
    <mergeCell ref="F91:J91"/>
    <mergeCell ref="F92:J92"/>
    <mergeCell ref="D79:F79"/>
    <mergeCell ref="I79:J79"/>
    <mergeCell ref="D80:F80"/>
    <mergeCell ref="I80:J80"/>
    <mergeCell ref="D81:F81"/>
    <mergeCell ref="I81:J81"/>
    <mergeCell ref="D82:F82"/>
    <mergeCell ref="I82:J82"/>
    <mergeCell ref="D83:F83"/>
    <mergeCell ref="I83:J83"/>
    <mergeCell ref="A74:J74"/>
    <mergeCell ref="D75:F75"/>
    <mergeCell ref="I75:J75"/>
    <mergeCell ref="D76:F76"/>
    <mergeCell ref="I76:J76"/>
    <mergeCell ref="D77:F77"/>
    <mergeCell ref="I77:J77"/>
    <mergeCell ref="D78:F78"/>
    <mergeCell ref="I78:J78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I56:J56"/>
    <mergeCell ref="I57:J57"/>
    <mergeCell ref="B59:J59"/>
    <mergeCell ref="F60:J60"/>
    <mergeCell ref="F61:J61"/>
    <mergeCell ref="F62:J62"/>
    <mergeCell ref="F63:J63"/>
    <mergeCell ref="F64:J64"/>
    <mergeCell ref="A66:J66"/>
    <mergeCell ref="H46:J46"/>
    <mergeCell ref="H47:J47"/>
    <mergeCell ref="H48:J48"/>
    <mergeCell ref="B50:J50"/>
    <mergeCell ref="I51:J51"/>
    <mergeCell ref="I52:J52"/>
    <mergeCell ref="I53:J53"/>
    <mergeCell ref="I54:J54"/>
    <mergeCell ref="I55:J55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F28:J28"/>
    <mergeCell ref="F29:J29"/>
    <mergeCell ref="F30:J30"/>
    <mergeCell ref="F31:J31"/>
    <mergeCell ref="C32:D32"/>
    <mergeCell ref="F32:J32"/>
    <mergeCell ref="A34:J34"/>
    <mergeCell ref="B35:J35"/>
    <mergeCell ref="H36:J36"/>
    <mergeCell ref="C7:D7"/>
    <mergeCell ref="E7:F7"/>
    <mergeCell ref="G7:H7"/>
    <mergeCell ref="A9:J9"/>
    <mergeCell ref="A13:J13"/>
    <mergeCell ref="A24:J24"/>
    <mergeCell ref="F25:J25"/>
    <mergeCell ref="F26:J26"/>
    <mergeCell ref="F27:J27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G37:G48">
    <cfRule type="cellIs" dxfId="39" priority="5" operator="equal">
      <formula>"Đúng hạn"</formula>
    </cfRule>
    <cfRule type="cellIs" dxfId="38" priority="6" operator="equal">
      <formula>"Trễ"</formula>
    </cfRule>
  </conditionalFormatting>
  <conditionalFormatting sqref="G52:G57">
    <cfRule type="cellIs" dxfId="37" priority="7" operator="equal">
      <formula>"Cao"</formula>
    </cfRule>
  </conditionalFormatting>
  <conditionalFormatting sqref="H15:H22">
    <cfRule type="cellIs" dxfId="36" priority="2" operator="equal">
      <formula>"Đạt"</formula>
    </cfRule>
    <cfRule type="cellIs" dxfId="35" priority="3" operator="equal">
      <formula>"Cần chú ý"</formula>
    </cfRule>
    <cfRule type="cellIs" dxfId="34" priority="4" operator="equal">
      <formula>"Không đạt"</formula>
    </cfRule>
  </conditionalFormatting>
  <dataValidations count="5">
    <dataValidation type="decimal" allowBlank="1" showErrorMessage="1" errorTitle="Giá trị không hợp lệ" error="Nhập từ 0% đến 100%" sqref="G76:G83" xr:uid="{00000000-0002-0000-0400-000000000000}">
      <formula1>0</formula1>
      <formula2>1</formula2>
    </dataValidation>
    <dataValidation type="decimal" allowBlank="1" showErrorMessage="1" errorTitle="Giá trị không hợp lệ" error="Nhập điểm từ 0 đến 10" sqref="D26:D30" xr:uid="{00000000-0002-0000-0400-000001000000}">
      <formula1>0</formula1>
      <formula2>10</formula2>
    </dataValidation>
    <dataValidation type="list" allowBlank="1" sqref="D15:D22" xr:uid="{00000000-0002-0000-0400-000002000000}">
      <formula1>"Cao hơn là tốt,Thấp hơn là tốt"</formula1>
      <formula2>0</formula2>
    </dataValidation>
    <dataValidation type="list" allowBlank="1" sqref="H76:H83" xr:uid="{00000000-0002-0000-0400-000007000000}">
      <formula1>"1,2,3,4,5"</formula1>
      <formula2>0</formula2>
    </dataValidation>
    <dataValidation type="list" allowBlank="1" sqref="C88:C95" xr:uid="{00000000-0002-0000-0400-000008000000}">
      <formula1>"R,A,C,I"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3000000}">
          <x14:formula1>
            <xm:f>'Danh mục'!$L$5:$L$11</xm:f>
          </x14:formula1>
          <x14:formula2>
            <xm:f>0</xm:f>
          </x14:formula2>
          <xm:sqref>D37:D48 C76:C83</xm:sqref>
        </x14:dataValidation>
        <x14:dataValidation type="list" allowBlank="1" xr:uid="{00000000-0002-0000-0400-000004000000}">
          <x14:formula1>
            <xm:f>'Danh mục'!$D$5:$D$7</xm:f>
          </x14:formula1>
          <x14:formula2>
            <xm:f>0</xm:f>
          </x14:formula2>
          <xm:sqref>G52:G57</xm:sqref>
        </x14:dataValidation>
        <x14:dataValidation type="list" allowBlank="1" xr:uid="{00000000-0002-0000-0400-000005000000}">
          <x14:formula1>
            <xm:f>'Danh mục'!$I$5:$I$6</xm:f>
          </x14:formula1>
          <x14:formula2>
            <xm:f>0</xm:f>
          </x14:formula2>
          <xm:sqref>C61:C64</xm:sqref>
        </x14:dataValidation>
        <x14:dataValidation type="list" allowBlank="1" showInputMessage="1" showErrorMessage="1" xr:uid="{23AFBD98-9241-4170-9C02-9E9858FA14DF}">
          <x14:formula1>
            <xm:f>'Danh mục'!$O$5:$O$100</xm:f>
          </x14:formula1>
          <xm:sqref>C37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  <pageSetUpPr fitToPage="1"/>
  </sheetPr>
  <dimension ref="A1:J80"/>
  <sheetViews>
    <sheetView showGridLines="0" zoomScaleNormal="100" workbookViewId="0">
      <pane ySplit="2" topLeftCell="A28" activePane="bottomLeft" state="frozen"/>
      <selection pane="bottomLeft" activeCell="C35" sqref="C35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318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319</v>
      </c>
      <c r="D5" s="9"/>
      <c r="E5" s="8" t="s">
        <v>98</v>
      </c>
      <c r="F5" s="8"/>
      <c r="G5" s="9">
        <v>41</v>
      </c>
      <c r="H5" s="9"/>
    </row>
    <row r="6" spans="1:10" ht="19.5" customHeight="1" x14ac:dyDescent="0.3">
      <c r="B6" s="20" t="s">
        <v>99</v>
      </c>
      <c r="C6" s="7">
        <v>46300</v>
      </c>
      <c r="D6" s="7"/>
      <c r="E6" s="8" t="s">
        <v>100</v>
      </c>
      <c r="F6" s="8"/>
      <c r="G6" s="6">
        <f>C6+6</f>
        <v>46306</v>
      </c>
      <c r="H6" s="6"/>
    </row>
    <row r="7" spans="1:10" ht="19.5" customHeight="1" x14ac:dyDescent="0.3">
      <c r="B7" s="20" t="s">
        <v>101</v>
      </c>
      <c r="C7" s="9"/>
      <c r="D7" s="9"/>
      <c r="E7" s="8" t="s">
        <v>102</v>
      </c>
      <c r="F7" s="8"/>
      <c r="G7" s="9"/>
      <c r="H7" s="9"/>
    </row>
    <row r="8" spans="1:10" ht="19.5" customHeight="1" x14ac:dyDescent="0.3">
      <c r="B8" s="20" t="s">
        <v>103</v>
      </c>
      <c r="C8" s="9" t="s">
        <v>63</v>
      </c>
      <c r="D8" s="9"/>
      <c r="E8" s="8" t="s">
        <v>104</v>
      </c>
      <c r="F8" s="8"/>
      <c r="G8" s="9"/>
      <c r="H8" s="9"/>
    </row>
    <row r="10" spans="1:10" ht="19.5" customHeight="1" x14ac:dyDescent="0.3">
      <c r="A10" s="12" t="s">
        <v>105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30" customHeight="1" x14ac:dyDescent="0.3">
      <c r="B11" s="15" t="s">
        <v>106</v>
      </c>
      <c r="C11" s="15" t="s">
        <v>107</v>
      </c>
      <c r="D11" s="15" t="s">
        <v>108</v>
      </c>
      <c r="E11" s="15" t="s">
        <v>109</v>
      </c>
      <c r="F11" s="15" t="s">
        <v>110</v>
      </c>
      <c r="G11" s="15" t="s">
        <v>111</v>
      </c>
      <c r="H11" s="15" t="s">
        <v>112</v>
      </c>
      <c r="I11" s="5" t="s">
        <v>113</v>
      </c>
      <c r="J11" s="5"/>
    </row>
    <row r="12" spans="1:10" ht="21.75" customHeight="1" x14ac:dyDescent="0.3">
      <c r="B12" s="21">
        <f>COUNTA(B16:B30)</f>
        <v>1</v>
      </c>
      <c r="C12" s="22">
        <f>COUNTIF(F16:F30,"Done")</f>
        <v>1</v>
      </c>
      <c r="D12" s="22">
        <f>COUNTIF(F16:F30,"In Progress")</f>
        <v>0</v>
      </c>
      <c r="E12" s="22">
        <f>COUNTIF(F16:F30,"Blocked")</f>
        <v>0</v>
      </c>
      <c r="F12" s="22">
        <f>COUNTIF(F16:F30,"Pending")</f>
        <v>0</v>
      </c>
      <c r="G12" s="22">
        <f>COUNTIF(F16:F30,"Overdue")</f>
        <v>0</v>
      </c>
      <c r="H12" s="23">
        <f>IFERROR(AVERAGE(G16:G30),"")</f>
        <v>1</v>
      </c>
      <c r="I12" s="4">
        <f>IFERROR(C12/B12,"")</f>
        <v>1</v>
      </c>
      <c r="J12" s="4"/>
    </row>
    <row r="14" spans="1:10" ht="19.5" customHeight="1" x14ac:dyDescent="0.3">
      <c r="A14" s="12" t="s">
        <v>114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33.75" customHeight="1" x14ac:dyDescent="0.3">
      <c r="A15" s="15" t="s">
        <v>115</v>
      </c>
      <c r="B15" s="15" t="s">
        <v>74</v>
      </c>
      <c r="C15" s="15" t="s">
        <v>116</v>
      </c>
      <c r="D15" s="15" t="s">
        <v>117</v>
      </c>
      <c r="E15" s="15" t="s">
        <v>118</v>
      </c>
      <c r="F15" s="15" t="s">
        <v>50</v>
      </c>
      <c r="G15" s="15" t="s">
        <v>119</v>
      </c>
      <c r="H15" s="5" t="s">
        <v>120</v>
      </c>
      <c r="I15" s="5"/>
      <c r="J15" s="5"/>
    </row>
    <row r="16" spans="1:10" ht="30" customHeight="1" x14ac:dyDescent="0.3">
      <c r="A16" s="24">
        <v>1</v>
      </c>
      <c r="B16" s="17" t="s">
        <v>320</v>
      </c>
      <c r="C16" s="25" t="s">
        <v>321</v>
      </c>
      <c r="D16" s="17" t="s">
        <v>123</v>
      </c>
      <c r="E16" s="26">
        <v>46303</v>
      </c>
      <c r="F16" s="25" t="s">
        <v>107</v>
      </c>
      <c r="G16" s="27">
        <v>1</v>
      </c>
      <c r="H16" s="3" t="s">
        <v>322</v>
      </c>
      <c r="I16" s="3"/>
      <c r="J16" s="3"/>
    </row>
    <row r="17" spans="1:10" ht="30" customHeight="1" x14ac:dyDescent="0.3">
      <c r="A17" s="24">
        <v>2</v>
      </c>
      <c r="B17" s="17"/>
      <c r="C17" s="25"/>
      <c r="D17" s="17"/>
      <c r="E17" s="26"/>
      <c r="F17" s="25"/>
      <c r="G17" s="27"/>
      <c r="H17" s="3"/>
      <c r="I17" s="3"/>
      <c r="J17" s="3"/>
    </row>
    <row r="18" spans="1:10" ht="30" customHeight="1" x14ac:dyDescent="0.3">
      <c r="A18" s="24">
        <v>3</v>
      </c>
      <c r="B18" s="17"/>
      <c r="C18" s="25"/>
      <c r="D18" s="17"/>
      <c r="E18" s="26"/>
      <c r="F18" s="25"/>
      <c r="G18" s="27"/>
      <c r="H18" s="3"/>
      <c r="I18" s="3"/>
      <c r="J18" s="3"/>
    </row>
    <row r="19" spans="1:10" ht="30" customHeight="1" x14ac:dyDescent="0.3">
      <c r="A19" s="24">
        <v>4</v>
      </c>
      <c r="B19" s="17"/>
      <c r="C19" s="25"/>
      <c r="D19" s="17"/>
      <c r="E19" s="26"/>
      <c r="F19" s="25"/>
      <c r="G19" s="27"/>
      <c r="H19" s="3"/>
      <c r="I19" s="3"/>
      <c r="J19" s="3"/>
    </row>
    <row r="20" spans="1:10" ht="30" customHeight="1" x14ac:dyDescent="0.3">
      <c r="A20" s="24">
        <v>5</v>
      </c>
      <c r="B20" s="17"/>
      <c r="C20" s="25"/>
      <c r="D20" s="17"/>
      <c r="E20" s="26"/>
      <c r="F20" s="25"/>
      <c r="G20" s="27"/>
      <c r="H20" s="3"/>
      <c r="I20" s="3"/>
      <c r="J20" s="3"/>
    </row>
    <row r="21" spans="1:10" ht="30" customHeight="1" x14ac:dyDescent="0.3">
      <c r="A21" s="24">
        <v>6</v>
      </c>
      <c r="B21" s="17"/>
      <c r="C21" s="25"/>
      <c r="D21" s="17"/>
      <c r="E21" s="26"/>
      <c r="F21" s="25"/>
      <c r="G21" s="27"/>
      <c r="H21" s="3"/>
      <c r="I21" s="3"/>
      <c r="J21" s="3"/>
    </row>
    <row r="22" spans="1:10" ht="30" customHeight="1" x14ac:dyDescent="0.3">
      <c r="A22" s="24">
        <v>7</v>
      </c>
      <c r="B22" s="17"/>
      <c r="C22" s="25"/>
      <c r="D22" s="17"/>
      <c r="E22" s="26"/>
      <c r="F22" s="25"/>
      <c r="G22" s="27"/>
      <c r="H22" s="3"/>
      <c r="I22" s="3"/>
      <c r="J22" s="3"/>
    </row>
    <row r="23" spans="1:10" ht="30" customHeight="1" x14ac:dyDescent="0.3">
      <c r="A23" s="24">
        <v>8</v>
      </c>
      <c r="B23" s="17"/>
      <c r="C23" s="25"/>
      <c r="D23" s="17"/>
      <c r="E23" s="26"/>
      <c r="F23" s="25"/>
      <c r="G23" s="27"/>
      <c r="H23" s="3"/>
      <c r="I23" s="3"/>
      <c r="J23" s="3"/>
    </row>
    <row r="24" spans="1:10" ht="30" customHeight="1" x14ac:dyDescent="0.3">
      <c r="A24" s="24">
        <v>9</v>
      </c>
      <c r="B24" s="17"/>
      <c r="C24" s="25"/>
      <c r="D24" s="17"/>
      <c r="E24" s="26"/>
      <c r="F24" s="25"/>
      <c r="G24" s="27"/>
      <c r="H24" s="3"/>
      <c r="I24" s="3"/>
      <c r="J24" s="3"/>
    </row>
    <row r="25" spans="1:10" ht="30" customHeight="1" x14ac:dyDescent="0.3">
      <c r="A25" s="24">
        <v>10</v>
      </c>
      <c r="B25" s="17"/>
      <c r="C25" s="25"/>
      <c r="D25" s="17"/>
      <c r="E25" s="26"/>
      <c r="F25" s="25"/>
      <c r="G25" s="27"/>
      <c r="H25" s="3"/>
      <c r="I25" s="3"/>
      <c r="J25" s="3"/>
    </row>
    <row r="26" spans="1:10" ht="30" customHeight="1" x14ac:dyDescent="0.3">
      <c r="A26" s="24">
        <v>11</v>
      </c>
      <c r="B26" s="17"/>
      <c r="C26" s="25"/>
      <c r="D26" s="17"/>
      <c r="E26" s="26"/>
      <c r="F26" s="25"/>
      <c r="G26" s="27"/>
      <c r="H26" s="3"/>
      <c r="I26" s="3"/>
      <c r="J26" s="3"/>
    </row>
    <row r="27" spans="1:10" ht="30" customHeight="1" x14ac:dyDescent="0.3">
      <c r="A27" s="24">
        <v>12</v>
      </c>
      <c r="B27" s="17"/>
      <c r="C27" s="25"/>
      <c r="D27" s="17"/>
      <c r="E27" s="26"/>
      <c r="F27" s="25"/>
      <c r="G27" s="27"/>
      <c r="H27" s="3"/>
      <c r="I27" s="3"/>
      <c r="J27" s="3"/>
    </row>
    <row r="28" spans="1:10" ht="30" customHeight="1" x14ac:dyDescent="0.3">
      <c r="A28" s="24">
        <v>13</v>
      </c>
      <c r="B28" s="17"/>
      <c r="C28" s="25"/>
      <c r="D28" s="17"/>
      <c r="E28" s="26"/>
      <c r="F28" s="25"/>
      <c r="G28" s="27"/>
      <c r="H28" s="3"/>
      <c r="I28" s="3"/>
      <c r="J28" s="3"/>
    </row>
    <row r="29" spans="1:10" ht="30" customHeight="1" x14ac:dyDescent="0.3">
      <c r="A29" s="24">
        <v>14</v>
      </c>
      <c r="B29" s="17"/>
      <c r="C29" s="25"/>
      <c r="D29" s="17"/>
      <c r="E29" s="26"/>
      <c r="F29" s="25"/>
      <c r="G29" s="27"/>
      <c r="H29" s="3"/>
      <c r="I29" s="3"/>
      <c r="J29" s="3"/>
    </row>
    <row r="30" spans="1:10" ht="30" customHeight="1" x14ac:dyDescent="0.3">
      <c r="A30" s="24">
        <v>15</v>
      </c>
      <c r="B30" s="17"/>
      <c r="C30" s="25"/>
      <c r="D30" s="17"/>
      <c r="E30" s="26"/>
      <c r="F30" s="25"/>
      <c r="G30" s="27"/>
      <c r="H30" s="3"/>
      <c r="I30" s="3"/>
      <c r="J30" s="3"/>
    </row>
    <row r="31" spans="1:10" ht="15" customHeight="1" x14ac:dyDescent="0.3">
      <c r="B31" s="10" t="s">
        <v>125</v>
      </c>
      <c r="C31" s="10"/>
      <c r="D31" s="10"/>
      <c r="E31" s="10"/>
      <c r="F31" s="10"/>
      <c r="G31" s="10"/>
      <c r="H31" s="10"/>
      <c r="I31" s="10"/>
      <c r="J31" s="10"/>
    </row>
    <row r="33" spans="1:10" ht="19.5" customHeight="1" x14ac:dyDescent="0.3">
      <c r="A33" s="12" t="s">
        <v>126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33.75" customHeight="1" x14ac:dyDescent="0.3">
      <c r="A34" s="15" t="s">
        <v>115</v>
      </c>
      <c r="B34" s="15" t="s">
        <v>74</v>
      </c>
      <c r="C34" s="15" t="s">
        <v>127</v>
      </c>
      <c r="D34" s="15" t="s">
        <v>128</v>
      </c>
      <c r="E34" s="5" t="s">
        <v>129</v>
      </c>
      <c r="F34" s="5"/>
      <c r="G34" s="5" t="s">
        <v>130</v>
      </c>
      <c r="H34" s="5"/>
      <c r="I34" s="5" t="s">
        <v>131</v>
      </c>
      <c r="J34" s="5"/>
    </row>
    <row r="35" spans="1:10" ht="27.75" customHeight="1" x14ac:dyDescent="0.3">
      <c r="A35" s="24">
        <v>1</v>
      </c>
      <c r="B35" s="17" t="s">
        <v>323</v>
      </c>
      <c r="C35" s="17" t="s">
        <v>123</v>
      </c>
      <c r="D35" s="17" t="s">
        <v>123</v>
      </c>
      <c r="E35" s="3" t="s">
        <v>326</v>
      </c>
      <c r="F35" s="3"/>
      <c r="G35" s="3" t="s">
        <v>327</v>
      </c>
      <c r="H35" s="3"/>
      <c r="I35" s="3"/>
      <c r="J35" s="3"/>
    </row>
    <row r="36" spans="1:10" ht="27.75" customHeight="1" x14ac:dyDescent="0.3">
      <c r="A36" s="24">
        <v>2</v>
      </c>
      <c r="B36" s="17"/>
      <c r="C36" s="17"/>
      <c r="D36" s="17"/>
      <c r="E36" s="3"/>
      <c r="F36" s="3"/>
      <c r="G36" s="3"/>
      <c r="H36" s="3"/>
      <c r="I36" s="3"/>
      <c r="J36" s="3"/>
    </row>
    <row r="37" spans="1:10" ht="27.75" customHeight="1" x14ac:dyDescent="0.3">
      <c r="A37" s="24">
        <v>3</v>
      </c>
      <c r="B37" s="17"/>
      <c r="C37" s="17"/>
      <c r="D37" s="17"/>
      <c r="E37" s="3"/>
      <c r="F37" s="3"/>
      <c r="G37" s="3"/>
      <c r="H37" s="3"/>
      <c r="I37" s="3"/>
      <c r="J37" s="3"/>
    </row>
    <row r="38" spans="1:10" ht="27.75" customHeight="1" x14ac:dyDescent="0.3">
      <c r="A38" s="24">
        <v>4</v>
      </c>
      <c r="B38" s="17"/>
      <c r="C38" s="17"/>
      <c r="D38" s="17"/>
      <c r="E38" s="3"/>
      <c r="F38" s="3"/>
      <c r="G38" s="3"/>
      <c r="H38" s="3"/>
      <c r="I38" s="3"/>
      <c r="J38" s="3"/>
    </row>
    <row r="39" spans="1:10" ht="27.75" customHeight="1" x14ac:dyDescent="0.3">
      <c r="A39" s="24">
        <v>5</v>
      </c>
      <c r="B39" s="17"/>
      <c r="C39" s="17"/>
      <c r="D39" s="17"/>
      <c r="E39" s="3"/>
      <c r="F39" s="3"/>
      <c r="G39" s="3"/>
      <c r="H39" s="3"/>
      <c r="I39" s="3"/>
      <c r="J39" s="3"/>
    </row>
    <row r="40" spans="1:10" ht="27.75" customHeight="1" x14ac:dyDescent="0.3">
      <c r="A40" s="24">
        <v>6</v>
      </c>
      <c r="B40" s="17"/>
      <c r="C40" s="17"/>
      <c r="D40" s="17"/>
      <c r="E40" s="3"/>
      <c r="F40" s="3"/>
      <c r="G40" s="3"/>
      <c r="H40" s="3"/>
      <c r="I40" s="3"/>
      <c r="J40" s="3"/>
    </row>
    <row r="41" spans="1:10" ht="15" customHeight="1" x14ac:dyDescent="0.3">
      <c r="B41" s="10" t="s">
        <v>136</v>
      </c>
      <c r="C41" s="10"/>
      <c r="D41" s="10"/>
      <c r="E41" s="10"/>
      <c r="F41" s="10"/>
      <c r="G41" s="10"/>
      <c r="H41" s="10"/>
      <c r="I41" s="10"/>
      <c r="J41" s="10"/>
    </row>
    <row r="43" spans="1:10" ht="19.5" customHeight="1" x14ac:dyDescent="0.3">
      <c r="A43" s="12" t="s">
        <v>137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33.75" customHeight="1" x14ac:dyDescent="0.3">
      <c r="A44" s="15" t="s">
        <v>115</v>
      </c>
      <c r="B44" s="15" t="s">
        <v>138</v>
      </c>
      <c r="C44" s="15" t="s">
        <v>117</v>
      </c>
      <c r="D44" s="15" t="s">
        <v>139</v>
      </c>
      <c r="E44" s="15" t="s">
        <v>140</v>
      </c>
      <c r="F44" s="5" t="s">
        <v>141</v>
      </c>
      <c r="G44" s="5"/>
      <c r="H44" s="5" t="s">
        <v>142</v>
      </c>
      <c r="I44" s="5"/>
      <c r="J44" s="5"/>
    </row>
    <row r="45" spans="1:10" ht="30" customHeight="1" x14ac:dyDescent="0.3">
      <c r="A45" s="24">
        <v>1</v>
      </c>
      <c r="B45" s="17" t="s">
        <v>328</v>
      </c>
      <c r="C45" s="17" t="s">
        <v>144</v>
      </c>
      <c r="D45" s="25" t="s">
        <v>145</v>
      </c>
      <c r="E45" s="26">
        <v>46307</v>
      </c>
      <c r="F45" s="3" t="s">
        <v>329</v>
      </c>
      <c r="G45" s="3"/>
      <c r="H45" s="3" t="s">
        <v>330</v>
      </c>
      <c r="I45" s="3"/>
      <c r="J45" s="3"/>
    </row>
    <row r="46" spans="1:10" ht="30" customHeight="1" x14ac:dyDescent="0.3">
      <c r="A46" s="24">
        <v>2</v>
      </c>
      <c r="B46" s="17"/>
      <c r="C46" s="17"/>
      <c r="D46" s="25"/>
      <c r="E46" s="26"/>
      <c r="F46" s="3"/>
      <c r="G46" s="3"/>
      <c r="H46" s="3"/>
      <c r="I46" s="3"/>
      <c r="J46" s="3"/>
    </row>
    <row r="47" spans="1:10" ht="30" customHeight="1" x14ac:dyDescent="0.3">
      <c r="A47" s="24">
        <v>3</v>
      </c>
      <c r="B47" s="17"/>
      <c r="C47" s="17"/>
      <c r="D47" s="25"/>
      <c r="E47" s="26"/>
      <c r="F47" s="3"/>
      <c r="G47" s="3"/>
      <c r="H47" s="3"/>
      <c r="I47" s="3"/>
      <c r="J47" s="3"/>
    </row>
    <row r="48" spans="1:10" ht="30" customHeight="1" x14ac:dyDescent="0.3">
      <c r="A48" s="24">
        <v>4</v>
      </c>
      <c r="B48" s="17"/>
      <c r="C48" s="17"/>
      <c r="D48" s="25"/>
      <c r="E48" s="26"/>
      <c r="F48" s="3"/>
      <c r="G48" s="3"/>
      <c r="H48" s="3"/>
      <c r="I48" s="3"/>
      <c r="J48" s="3"/>
    </row>
    <row r="49" spans="1:10" ht="30" customHeight="1" x14ac:dyDescent="0.3">
      <c r="A49" s="24">
        <v>5</v>
      </c>
      <c r="B49" s="17"/>
      <c r="C49" s="17"/>
      <c r="D49" s="25"/>
      <c r="E49" s="26"/>
      <c r="F49" s="3"/>
      <c r="G49" s="3"/>
      <c r="H49" s="3"/>
      <c r="I49" s="3"/>
      <c r="J49" s="3"/>
    </row>
    <row r="50" spans="1:10" ht="30" customHeight="1" x14ac:dyDescent="0.3">
      <c r="A50" s="24">
        <v>6</v>
      </c>
      <c r="B50" s="17"/>
      <c r="C50" s="17"/>
      <c r="D50" s="25"/>
      <c r="E50" s="26"/>
      <c r="F50" s="3"/>
      <c r="G50" s="3"/>
      <c r="H50" s="3"/>
      <c r="I50" s="3"/>
      <c r="J50" s="3"/>
    </row>
    <row r="51" spans="1:10" ht="15" customHeight="1" x14ac:dyDescent="0.3">
      <c r="B51" s="10" t="s">
        <v>148</v>
      </c>
      <c r="C51" s="10"/>
      <c r="D51" s="10"/>
      <c r="E51" s="10"/>
      <c r="F51" s="10"/>
      <c r="G51" s="10"/>
      <c r="H51" s="10"/>
      <c r="I51" s="10"/>
      <c r="J51" s="10"/>
    </row>
    <row r="53" spans="1:10" ht="19.5" customHeight="1" x14ac:dyDescent="0.3">
      <c r="A53" s="12" t="s">
        <v>149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33.75" customHeight="1" x14ac:dyDescent="0.3">
      <c r="A54" s="15" t="s">
        <v>115</v>
      </c>
      <c r="B54" s="15" t="s">
        <v>74</v>
      </c>
      <c r="C54" s="15" t="s">
        <v>117</v>
      </c>
      <c r="D54" s="15" t="s">
        <v>118</v>
      </c>
      <c r="E54" s="15" t="s">
        <v>139</v>
      </c>
      <c r="F54" s="5" t="s">
        <v>150</v>
      </c>
      <c r="G54" s="5"/>
      <c r="H54" s="5"/>
      <c r="I54" s="5"/>
      <c r="J54" s="5"/>
    </row>
    <row r="55" spans="1:10" ht="30" customHeight="1" x14ac:dyDescent="0.3">
      <c r="A55" s="24">
        <v>1</v>
      </c>
      <c r="B55" s="17" t="s">
        <v>331</v>
      </c>
      <c r="C55" s="17" t="s">
        <v>123</v>
      </c>
      <c r="D55" s="26">
        <v>46311</v>
      </c>
      <c r="E55" s="25" t="s">
        <v>145</v>
      </c>
      <c r="F55" s="3" t="s">
        <v>332</v>
      </c>
      <c r="G55" s="3"/>
      <c r="H55" s="3"/>
      <c r="I55" s="3"/>
      <c r="J55" s="3"/>
    </row>
    <row r="56" spans="1:10" ht="30" customHeight="1" x14ac:dyDescent="0.3">
      <c r="A56" s="24">
        <v>2</v>
      </c>
      <c r="B56" s="17"/>
      <c r="C56" s="17"/>
      <c r="D56" s="26"/>
      <c r="E56" s="25"/>
      <c r="F56" s="3"/>
      <c r="G56" s="3"/>
      <c r="H56" s="3"/>
      <c r="I56" s="3"/>
      <c r="J56" s="3"/>
    </row>
    <row r="57" spans="1:10" ht="30" customHeight="1" x14ac:dyDescent="0.3">
      <c r="A57" s="24">
        <v>3</v>
      </c>
      <c r="B57" s="17"/>
      <c r="C57" s="17"/>
      <c r="D57" s="26"/>
      <c r="E57" s="25"/>
      <c r="F57" s="3"/>
      <c r="G57" s="3"/>
      <c r="H57" s="3"/>
      <c r="I57" s="3"/>
      <c r="J57" s="3"/>
    </row>
    <row r="58" spans="1:10" ht="30" customHeight="1" x14ac:dyDescent="0.3">
      <c r="A58" s="24">
        <v>4</v>
      </c>
      <c r="B58" s="17"/>
      <c r="C58" s="17"/>
      <c r="D58" s="26"/>
      <c r="E58" s="25"/>
      <c r="F58" s="3"/>
      <c r="G58" s="3"/>
      <c r="H58" s="3"/>
      <c r="I58" s="3"/>
      <c r="J58" s="3"/>
    </row>
    <row r="59" spans="1:10" ht="30" customHeight="1" x14ac:dyDescent="0.3">
      <c r="A59" s="24">
        <v>5</v>
      </c>
      <c r="B59" s="17"/>
      <c r="C59" s="17"/>
      <c r="D59" s="26"/>
      <c r="E59" s="25"/>
      <c r="F59" s="3"/>
      <c r="G59" s="3"/>
      <c r="H59" s="3"/>
      <c r="I59" s="3"/>
      <c r="J59" s="3"/>
    </row>
    <row r="60" spans="1:10" ht="30" customHeight="1" x14ac:dyDescent="0.3">
      <c r="A60" s="24">
        <v>6</v>
      </c>
      <c r="B60" s="17"/>
      <c r="C60" s="17"/>
      <c r="D60" s="26"/>
      <c r="E60" s="25"/>
      <c r="F60" s="3"/>
      <c r="G60" s="3"/>
      <c r="H60" s="3"/>
      <c r="I60" s="3"/>
      <c r="J60" s="3"/>
    </row>
    <row r="62" spans="1:10" ht="19.5" customHeight="1" x14ac:dyDescent="0.3">
      <c r="A62" s="12" t="s">
        <v>153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33.75" customHeight="1" x14ac:dyDescent="0.3">
      <c r="A63" s="15" t="s">
        <v>115</v>
      </c>
      <c r="B63" s="15" t="s">
        <v>154</v>
      </c>
      <c r="C63" s="5" t="s">
        <v>155</v>
      </c>
      <c r="D63" s="5"/>
      <c r="E63" s="5" t="s">
        <v>82</v>
      </c>
      <c r="F63" s="5"/>
      <c r="G63" s="5"/>
      <c r="H63" s="5" t="s">
        <v>156</v>
      </c>
      <c r="I63" s="5"/>
      <c r="J63" s="15" t="s">
        <v>157</v>
      </c>
    </row>
    <row r="64" spans="1:10" ht="30" customHeight="1" x14ac:dyDescent="0.3">
      <c r="A64" s="24">
        <v>1</v>
      </c>
      <c r="B64" s="17" t="s">
        <v>333</v>
      </c>
      <c r="C64" s="3" t="s">
        <v>334</v>
      </c>
      <c r="D64" s="3"/>
      <c r="E64" s="3" t="s">
        <v>335</v>
      </c>
      <c r="F64" s="3"/>
      <c r="G64" s="3"/>
      <c r="H64" s="3" t="s">
        <v>336</v>
      </c>
      <c r="I64" s="3"/>
      <c r="J64" s="26">
        <v>46307</v>
      </c>
    </row>
    <row r="65" spans="1:10" ht="30" customHeight="1" x14ac:dyDescent="0.3">
      <c r="A65" s="24">
        <v>2</v>
      </c>
      <c r="B65" s="17"/>
      <c r="C65" s="3"/>
      <c r="D65" s="3"/>
      <c r="E65" s="3"/>
      <c r="F65" s="3"/>
      <c r="G65" s="3"/>
      <c r="H65" s="3"/>
      <c r="I65" s="3"/>
      <c r="J65" s="26"/>
    </row>
    <row r="66" spans="1:10" ht="30" customHeight="1" x14ac:dyDescent="0.3">
      <c r="A66" s="24">
        <v>3</v>
      </c>
      <c r="B66" s="17"/>
      <c r="C66" s="3"/>
      <c r="D66" s="3"/>
      <c r="E66" s="3"/>
      <c r="F66" s="3"/>
      <c r="G66" s="3"/>
      <c r="H66" s="3"/>
      <c r="I66" s="3"/>
      <c r="J66" s="26"/>
    </row>
    <row r="67" spans="1:10" ht="30" customHeight="1" x14ac:dyDescent="0.3">
      <c r="A67" s="24">
        <v>4</v>
      </c>
      <c r="B67" s="17"/>
      <c r="C67" s="3"/>
      <c r="D67" s="3"/>
      <c r="E67" s="3"/>
      <c r="F67" s="3"/>
      <c r="G67" s="3"/>
      <c r="H67" s="3"/>
      <c r="I67" s="3"/>
      <c r="J67" s="26"/>
    </row>
    <row r="68" spans="1:10" ht="30" customHeight="1" x14ac:dyDescent="0.3">
      <c r="A68" s="24">
        <v>5</v>
      </c>
      <c r="B68" s="17"/>
      <c r="C68" s="3"/>
      <c r="D68" s="3"/>
      <c r="E68" s="3"/>
      <c r="F68" s="3"/>
      <c r="G68" s="3"/>
      <c r="H68" s="3"/>
      <c r="I68" s="3"/>
      <c r="J68" s="26"/>
    </row>
    <row r="70" spans="1:10" ht="19.5" customHeight="1" x14ac:dyDescent="0.3">
      <c r="A70" s="12" t="s">
        <v>162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33.75" customHeight="1" x14ac:dyDescent="0.3">
      <c r="A71" s="15" t="s">
        <v>115</v>
      </c>
      <c r="B71" s="15" t="s">
        <v>78</v>
      </c>
      <c r="C71" s="15" t="s">
        <v>163</v>
      </c>
      <c r="D71" s="15" t="s">
        <v>164</v>
      </c>
      <c r="E71" s="15" t="s">
        <v>165</v>
      </c>
      <c r="F71" s="15" t="s">
        <v>166</v>
      </c>
      <c r="G71" s="15" t="s">
        <v>119</v>
      </c>
      <c r="H71" s="15" t="s">
        <v>167</v>
      </c>
      <c r="I71" s="5" t="s">
        <v>131</v>
      </c>
      <c r="J71" s="5"/>
    </row>
    <row r="72" spans="1:10" ht="30" customHeight="1" x14ac:dyDescent="0.3">
      <c r="A72" s="24">
        <v>1</v>
      </c>
      <c r="B72" s="17" t="s">
        <v>337</v>
      </c>
      <c r="C72" s="17" t="s">
        <v>179</v>
      </c>
      <c r="D72" s="25" t="s">
        <v>170</v>
      </c>
      <c r="E72" s="25">
        <v>100</v>
      </c>
      <c r="F72" s="25">
        <v>90</v>
      </c>
      <c r="G72" s="28">
        <f t="shared" ref="G72:G79" si="0">IF(OR(E72="",F72=""),"",IF(E72=0,"",F72/E72))</f>
        <v>0.9</v>
      </c>
      <c r="H72" s="22" t="str">
        <f>IF(G72="","",IF(D72="Thấp hơn là tốt",IF(G72&lt;=1,"Đạt",IF(G72&lt;='Danh mục'!$B$18,"Cần chú ý","Không đạt")),IF(G72&gt;=1,"Đạt",IF(G72&gt;='Danh mục'!$B$17,"Cần chú ý","Không đạt"))))</f>
        <v>Cần chú ý</v>
      </c>
      <c r="I72" s="3"/>
      <c r="J72" s="3"/>
    </row>
    <row r="73" spans="1:10" ht="30" customHeight="1" x14ac:dyDescent="0.3">
      <c r="A73" s="24">
        <v>2</v>
      </c>
      <c r="B73" s="17" t="s">
        <v>338</v>
      </c>
      <c r="C73" s="17" t="s">
        <v>339</v>
      </c>
      <c r="D73" s="25" t="s">
        <v>170</v>
      </c>
      <c r="E73" s="25"/>
      <c r="F73" s="25"/>
      <c r="G73" s="28" t="str">
        <f t="shared" si="0"/>
        <v/>
      </c>
      <c r="H73" s="22" t="str">
        <f>IF(G73="","",IF(D73="Thấp hơn là tốt",IF(G73&lt;=1,"Đạt",IF(G73&lt;='Danh mục'!$B$18,"Cần chú ý","Không đạt")),IF(G73&gt;=1,"Đạt",IF(G73&gt;='Danh mục'!$B$17,"Cần chú ý","Không đạt"))))</f>
        <v/>
      </c>
      <c r="I73" s="3"/>
      <c r="J73" s="3"/>
    </row>
    <row r="74" spans="1:10" ht="30" customHeight="1" x14ac:dyDescent="0.3">
      <c r="A74" s="24">
        <v>3</v>
      </c>
      <c r="B74" s="17" t="s">
        <v>340</v>
      </c>
      <c r="C74" s="17" t="s">
        <v>179</v>
      </c>
      <c r="D74" s="25" t="s">
        <v>175</v>
      </c>
      <c r="E74" s="25"/>
      <c r="F74" s="25"/>
      <c r="G74" s="28" t="str">
        <f t="shared" si="0"/>
        <v/>
      </c>
      <c r="H74" s="22" t="str">
        <f>IF(G74="","",IF(D74="Thấp hơn là tốt",IF(G74&lt;=1,"Đạt",IF(G74&lt;='Danh mục'!$B$18,"Cần chú ý","Không đạt")),IF(G74&gt;=1,"Đạt",IF(G74&gt;='Danh mục'!$B$17,"Cần chú ý","Không đạt"))))</f>
        <v/>
      </c>
      <c r="I74" s="3"/>
      <c r="J74" s="3"/>
    </row>
    <row r="75" spans="1:10" ht="30" customHeight="1" x14ac:dyDescent="0.3">
      <c r="A75" s="24">
        <v>4</v>
      </c>
      <c r="B75" s="17" t="s">
        <v>341</v>
      </c>
      <c r="C75" s="17" t="s">
        <v>342</v>
      </c>
      <c r="D75" s="25" t="s">
        <v>175</v>
      </c>
      <c r="E75" s="25"/>
      <c r="F75" s="25"/>
      <c r="G75" s="28" t="str">
        <f t="shared" si="0"/>
        <v/>
      </c>
      <c r="H75" s="22" t="str">
        <f>IF(G75="","",IF(D75="Thấp hơn là tốt",IF(G75&lt;=1,"Đạt",IF(G75&lt;='Danh mục'!$B$18,"Cần chú ý","Không đạt")),IF(G75&gt;=1,"Đạt",IF(G75&gt;='Danh mục'!$B$17,"Cần chú ý","Không đạt"))))</f>
        <v/>
      </c>
      <c r="I75" s="3"/>
      <c r="J75" s="3"/>
    </row>
    <row r="76" spans="1:10" ht="30" customHeight="1" x14ac:dyDescent="0.3">
      <c r="A76" s="24">
        <v>5</v>
      </c>
      <c r="B76" s="17" t="s">
        <v>343</v>
      </c>
      <c r="C76" s="17" t="s">
        <v>179</v>
      </c>
      <c r="D76" s="25" t="s">
        <v>170</v>
      </c>
      <c r="E76" s="25"/>
      <c r="F76" s="25"/>
      <c r="G76" s="28" t="str">
        <f t="shared" si="0"/>
        <v/>
      </c>
      <c r="H76" s="22" t="str">
        <f>IF(G76="","",IF(D76="Thấp hơn là tốt",IF(G76&lt;=1,"Đạt",IF(G76&lt;='Danh mục'!$B$18,"Cần chú ý","Không đạt")),IF(G76&gt;=1,"Đạt",IF(G76&gt;='Danh mục'!$B$17,"Cần chú ý","Không đạt"))))</f>
        <v/>
      </c>
      <c r="I76" s="3"/>
      <c r="J76" s="3"/>
    </row>
    <row r="77" spans="1:10" ht="30" customHeight="1" x14ac:dyDescent="0.3">
      <c r="A77" s="24">
        <v>6</v>
      </c>
      <c r="B77" s="17"/>
      <c r="C77" s="17"/>
      <c r="D77" s="25"/>
      <c r="E77" s="25"/>
      <c r="F77" s="25"/>
      <c r="G77" s="28" t="str">
        <f t="shared" si="0"/>
        <v/>
      </c>
      <c r="H77" s="22" t="str">
        <f>IF(G77="","",IF(D77="Thấp hơn là tốt",IF(G77&lt;=1,"Đạt",IF(G77&lt;='Danh mục'!$B$18,"Cần chú ý","Không đạt")),IF(G77&gt;=1,"Đạt",IF(G77&gt;='Danh mục'!$B$17,"Cần chú ý","Không đạt"))))</f>
        <v/>
      </c>
      <c r="I77" s="3"/>
      <c r="J77" s="3"/>
    </row>
    <row r="78" spans="1:10" ht="30" customHeight="1" x14ac:dyDescent="0.3">
      <c r="A78" s="24">
        <v>7</v>
      </c>
      <c r="B78" s="17"/>
      <c r="C78" s="17"/>
      <c r="D78" s="25"/>
      <c r="E78" s="25"/>
      <c r="F78" s="25"/>
      <c r="G78" s="28" t="str">
        <f t="shared" si="0"/>
        <v/>
      </c>
      <c r="H78" s="22" t="str">
        <f>IF(G78="","",IF(D78="Thấp hơn là tốt",IF(G78&lt;=1,"Đạt",IF(G78&lt;='Danh mục'!$B$18,"Cần chú ý","Không đạt")),IF(G78&gt;=1,"Đạt",IF(G78&gt;='Danh mục'!$B$17,"Cần chú ý","Không đạt"))))</f>
        <v/>
      </c>
      <c r="I78" s="3"/>
      <c r="J78" s="3"/>
    </row>
    <row r="79" spans="1:10" ht="30" customHeight="1" x14ac:dyDescent="0.3">
      <c r="A79" s="24">
        <v>8</v>
      </c>
      <c r="B79" s="17"/>
      <c r="C79" s="17"/>
      <c r="D79" s="25"/>
      <c r="E79" s="25"/>
      <c r="F79" s="25"/>
      <c r="G79" s="28" t="str">
        <f t="shared" si="0"/>
        <v/>
      </c>
      <c r="H79" s="22" t="str">
        <f>IF(G79="","",IF(D79="Thấp hơn là tốt",IF(G79&lt;=1,"Đạt",IF(G79&lt;='Danh mục'!$B$18,"Cần chú ý","Không đạt")),IF(G79&gt;=1,"Đạt",IF(G79&gt;='Danh mục'!$B$17,"Cần chú ý","Không đạt"))))</f>
        <v/>
      </c>
      <c r="I79" s="3"/>
      <c r="J79" s="3"/>
    </row>
    <row r="80" spans="1:10" ht="15" customHeight="1" x14ac:dyDescent="0.3">
      <c r="B80" s="10" t="s">
        <v>182</v>
      </c>
      <c r="C80" s="10"/>
      <c r="D80" s="10"/>
      <c r="E80" s="10"/>
      <c r="F80" s="10"/>
      <c r="G80" s="10"/>
      <c r="H80" s="10"/>
      <c r="I80" s="10"/>
      <c r="J80" s="10"/>
    </row>
  </sheetData>
  <mergeCells count="113">
    <mergeCell ref="I79:J79"/>
    <mergeCell ref="B80:J80"/>
    <mergeCell ref="A70:J70"/>
    <mergeCell ref="I71:J71"/>
    <mergeCell ref="I72:J72"/>
    <mergeCell ref="I73:J73"/>
    <mergeCell ref="I74:J74"/>
    <mergeCell ref="I75:J75"/>
    <mergeCell ref="I76:J76"/>
    <mergeCell ref="I77:J77"/>
    <mergeCell ref="I78:J78"/>
    <mergeCell ref="C66:D66"/>
    <mergeCell ref="E66:G66"/>
    <mergeCell ref="H66:I66"/>
    <mergeCell ref="C67:D67"/>
    <mergeCell ref="E67:G67"/>
    <mergeCell ref="H67:I67"/>
    <mergeCell ref="C68:D68"/>
    <mergeCell ref="E68:G68"/>
    <mergeCell ref="H68:I68"/>
    <mergeCell ref="A62:J62"/>
    <mergeCell ref="C63:D63"/>
    <mergeCell ref="E63:G63"/>
    <mergeCell ref="H63:I63"/>
    <mergeCell ref="C64:D64"/>
    <mergeCell ref="E64:G64"/>
    <mergeCell ref="H64:I64"/>
    <mergeCell ref="C65:D65"/>
    <mergeCell ref="E65:G65"/>
    <mergeCell ref="H65:I65"/>
    <mergeCell ref="B51:J51"/>
    <mergeCell ref="A53:J53"/>
    <mergeCell ref="F54:J54"/>
    <mergeCell ref="F55:J55"/>
    <mergeCell ref="F56:J56"/>
    <mergeCell ref="F57:J57"/>
    <mergeCell ref="F58:J58"/>
    <mergeCell ref="F59:J59"/>
    <mergeCell ref="F60:J60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E40:F40"/>
    <mergeCell ref="G40:H40"/>
    <mergeCell ref="I40:J40"/>
    <mergeCell ref="B41:J41"/>
    <mergeCell ref="A43:J43"/>
    <mergeCell ref="F44:G44"/>
    <mergeCell ref="H44:J44"/>
    <mergeCell ref="F45:G45"/>
    <mergeCell ref="H45:J45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A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H23:J23"/>
    <mergeCell ref="H24:J24"/>
    <mergeCell ref="H25:J25"/>
    <mergeCell ref="H26:J26"/>
    <mergeCell ref="H27:J27"/>
    <mergeCell ref="H28:J28"/>
    <mergeCell ref="H29:J29"/>
    <mergeCell ref="H30:J30"/>
    <mergeCell ref="B31:J31"/>
    <mergeCell ref="A14:J14"/>
    <mergeCell ref="H15:J15"/>
    <mergeCell ref="H16:J16"/>
    <mergeCell ref="H17:J17"/>
    <mergeCell ref="H18:J18"/>
    <mergeCell ref="H19:J19"/>
    <mergeCell ref="H20:J20"/>
    <mergeCell ref="H21:J21"/>
    <mergeCell ref="H22:J22"/>
    <mergeCell ref="C7:D7"/>
    <mergeCell ref="E7:F7"/>
    <mergeCell ref="G7:H7"/>
    <mergeCell ref="C8:D8"/>
    <mergeCell ref="E8:F8"/>
    <mergeCell ref="G8:H8"/>
    <mergeCell ref="A10:J10"/>
    <mergeCell ref="I11:J11"/>
    <mergeCell ref="I12:J12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D45:D50">
    <cfRule type="cellIs" dxfId="33" priority="8" operator="equal">
      <formula>"Cao"</formula>
    </cfRule>
  </conditionalFormatting>
  <conditionalFormatting sqref="E16:E30">
    <cfRule type="expression" dxfId="32" priority="2">
      <formula>AND(E16&lt;&gt;"",E16&lt;TODAY(),$F16&lt;&gt;"Done")</formula>
    </cfRule>
  </conditionalFormatting>
  <conditionalFormatting sqref="E55:E60">
    <cfRule type="cellIs" dxfId="31" priority="9" operator="equal">
      <formula>"Cao"</formula>
    </cfRule>
  </conditionalFormatting>
  <conditionalFormatting sqref="F16:F30">
    <cfRule type="cellIs" dxfId="30" priority="3" operator="equal">
      <formula>"Done"</formula>
    </cfRule>
    <cfRule type="cellIs" dxfId="29" priority="4" operator="equal">
      <formula>"In Progress"</formula>
    </cfRule>
    <cfRule type="cellIs" dxfId="28" priority="5" operator="equal">
      <formula>"Blocked"</formula>
    </cfRule>
    <cfRule type="cellIs" dxfId="27" priority="6" operator="equal">
      <formula>"Pending"</formula>
    </cfRule>
    <cfRule type="cellIs" dxfId="26" priority="7" operator="equal">
      <formula>"Overdue"</formula>
    </cfRule>
  </conditionalFormatting>
  <conditionalFormatting sqref="H72:H79">
    <cfRule type="cellIs" dxfId="25" priority="10" operator="equal">
      <formula>"Đạt"</formula>
    </cfRule>
    <cfRule type="cellIs" dxfId="24" priority="11" operator="equal">
      <formula>"Cần chú ý"</formula>
    </cfRule>
    <cfRule type="cellIs" dxfId="23" priority="12" operator="equal">
      <formula>"Không đạt"</formula>
    </cfRule>
  </conditionalFormatting>
  <dataValidations count="2">
    <dataValidation type="decimal" allowBlank="1" showErrorMessage="1" errorTitle="Giá trị không hợp lệ" error="Nhập từ 0% đến 100%" sqref="G16:G30" xr:uid="{00000000-0002-0000-0500-000000000000}">
      <formula1>0</formula1>
      <formula2>1</formula2>
    </dataValidation>
    <dataValidation type="list" allowBlank="1" sqref="D72:D79" xr:uid="{00000000-0002-0000-0500-000005000000}">
      <formula1>"Cao hơn là tốt,Thấp hơn là tốt"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500-000001000000}">
          <x14:formula1>
            <xm:f>'Danh mục'!$M$5:$M$10</xm:f>
          </x14:formula1>
          <x14:formula2>
            <xm:f>0</xm:f>
          </x14:formula2>
          <xm:sqref>C16:C30</xm:sqref>
        </x14:dataValidation>
        <x14:dataValidation type="list" allowBlank="1" xr:uid="{00000000-0002-0000-0500-000002000000}">
          <x14:formula1>
            <xm:f>'Danh mục'!$A$5:$A$9</xm:f>
          </x14:formula1>
          <x14:formula2>
            <xm:f>0</xm:f>
          </x14:formula2>
          <xm:sqref>F16:F30</xm:sqref>
        </x14:dataValidation>
        <x14:dataValidation type="list" allowBlank="1" xr:uid="{00000000-0002-0000-0500-000003000000}">
          <x14:formula1>
            <xm:f>'Danh mục'!$D$5:$D$7</xm:f>
          </x14:formula1>
          <x14:formula2>
            <xm:f>0</xm:f>
          </x14:formula2>
          <xm:sqref>D45:D50 E55:E60</xm:sqref>
        </x14:dataValidation>
        <x14:dataValidation type="list" allowBlank="1" showInputMessage="1" showErrorMessage="1" xr:uid="{72A46A14-8D6D-4E20-8736-8F2C40900FA7}">
          <x14:formula1>
            <xm:f>'Danh mục'!$O$5:$O$100</xm:f>
          </x14:formula1>
          <xm:sqref>D16 C35:D35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  <pageSetUpPr fitToPage="1"/>
  </sheetPr>
  <dimension ref="A1:J103"/>
  <sheetViews>
    <sheetView showGridLines="0" zoomScaleNormal="100" workbookViewId="0">
      <pane ySplit="2" topLeftCell="A14" activePane="bottomLeft" state="frozen"/>
      <selection pane="bottomLeft" activeCell="D26" sqref="D26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344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319</v>
      </c>
      <c r="D5" s="9"/>
      <c r="E5" s="8" t="s">
        <v>184</v>
      </c>
      <c r="F5" s="8"/>
      <c r="G5" s="9" t="s">
        <v>185</v>
      </c>
      <c r="H5" s="9"/>
    </row>
    <row r="6" spans="1:10" ht="19.5" customHeight="1" x14ac:dyDescent="0.3">
      <c r="B6" s="20" t="s">
        <v>101</v>
      </c>
      <c r="C6" s="9"/>
      <c r="D6" s="9"/>
      <c r="E6" s="8" t="s">
        <v>102</v>
      </c>
      <c r="F6" s="8"/>
      <c r="G6" s="9"/>
      <c r="H6" s="9"/>
    </row>
    <row r="7" spans="1:10" ht="19.5" customHeight="1" x14ac:dyDescent="0.3">
      <c r="B7" s="20" t="s">
        <v>103</v>
      </c>
      <c r="C7" s="9" t="s">
        <v>186</v>
      </c>
      <c r="D7" s="9"/>
      <c r="E7" s="8" t="s">
        <v>104</v>
      </c>
      <c r="F7" s="8"/>
      <c r="G7" s="9"/>
      <c r="H7" s="9"/>
    </row>
    <row r="9" spans="1:10" ht="19.5" customHeight="1" x14ac:dyDescent="0.3">
      <c r="A9" s="12" t="s">
        <v>187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 ht="30" customHeight="1" x14ac:dyDescent="0.3">
      <c r="B10" s="15" t="s">
        <v>188</v>
      </c>
      <c r="C10" s="15" t="s">
        <v>189</v>
      </c>
      <c r="D10" s="15" t="s">
        <v>190</v>
      </c>
      <c r="E10" s="15" t="s">
        <v>76</v>
      </c>
      <c r="F10" s="15" t="s">
        <v>191</v>
      </c>
      <c r="G10" s="15" t="s">
        <v>192</v>
      </c>
      <c r="H10" s="15" t="s">
        <v>193</v>
      </c>
    </row>
    <row r="11" spans="1:10" ht="21.75" customHeight="1" x14ac:dyDescent="0.3">
      <c r="B11" s="21" t="str">
        <f>COUNTIF(H15:H22,"Đạt")&amp;" / "&amp;COUNTIF(H15:H22,"?*")</f>
        <v>1 / 1</v>
      </c>
      <c r="C11" s="21">
        <f>COUNTA(B37:B48)</f>
        <v>1</v>
      </c>
      <c r="D11" s="23">
        <f>IFERROR(COUNTIF(G37:G48,"Đúng hạn")/COUNTIF(G37:G48,"?*"),"")</f>
        <v>1</v>
      </c>
      <c r="E11" s="21">
        <f>COUNTA(B52:B57)</f>
        <v>1</v>
      </c>
      <c r="F11" s="21">
        <f>COUNTA(B61:B64)</f>
        <v>1</v>
      </c>
      <c r="G11" s="29" t="str">
        <f>E31</f>
        <v/>
      </c>
      <c r="H11" s="21" t="str">
        <f>E32</f>
        <v/>
      </c>
    </row>
    <row r="13" spans="1:10" ht="19.5" customHeight="1" x14ac:dyDescent="0.3">
      <c r="A13" s="12" t="s">
        <v>194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33.75" customHeight="1" x14ac:dyDescent="0.3">
      <c r="A14" s="15" t="s">
        <v>115</v>
      </c>
      <c r="B14" s="15" t="s">
        <v>78</v>
      </c>
      <c r="C14" s="15" t="s">
        <v>163</v>
      </c>
      <c r="D14" s="15" t="s">
        <v>164</v>
      </c>
      <c r="E14" s="15" t="s">
        <v>165</v>
      </c>
      <c r="F14" s="15" t="s">
        <v>166</v>
      </c>
      <c r="G14" s="15" t="s">
        <v>119</v>
      </c>
      <c r="H14" s="15" t="s">
        <v>167</v>
      </c>
      <c r="I14" s="15" t="s">
        <v>195</v>
      </c>
      <c r="J14" s="15" t="s">
        <v>196</v>
      </c>
    </row>
    <row r="15" spans="1:10" ht="30" customHeight="1" x14ac:dyDescent="0.3">
      <c r="A15" s="24">
        <v>1</v>
      </c>
      <c r="B15" s="17" t="s">
        <v>345</v>
      </c>
      <c r="C15" s="17" t="s">
        <v>346</v>
      </c>
      <c r="D15" s="25" t="s">
        <v>170</v>
      </c>
      <c r="E15" s="25">
        <v>3</v>
      </c>
      <c r="F15" s="25">
        <v>3</v>
      </c>
      <c r="G15" s="28">
        <f t="shared" ref="G15:G22" si="0">IF(OR(E15="",F15=""),"",IF(E15=0,"",F15/E15))</f>
        <v>1</v>
      </c>
      <c r="H15" s="22" t="str">
        <f>IF(G15="","",IF(D15="Thấp hơn là tốt",IF(G15&lt;=1,"Đạt",IF(G15&lt;='Danh mục'!$B$18,"Cần chú ý","Không đạt")),IF(G15&gt;=1,"Đạt",IF(G15&gt;='Danh mục'!$B$17,"Cần chú ý","Không đạt"))))</f>
        <v>Đạt</v>
      </c>
      <c r="I15" s="25">
        <v>2</v>
      </c>
      <c r="J15" s="30">
        <f t="shared" ref="J15:J22" si="1">IF(OR(F15="",I15=""),"",F15-I15)</f>
        <v>1</v>
      </c>
    </row>
    <row r="16" spans="1:10" ht="30" customHeight="1" x14ac:dyDescent="0.3">
      <c r="A16" s="24">
        <v>2</v>
      </c>
      <c r="B16" s="17" t="s">
        <v>347</v>
      </c>
      <c r="C16" s="17" t="s">
        <v>179</v>
      </c>
      <c r="D16" s="25" t="s">
        <v>170</v>
      </c>
      <c r="E16" s="25"/>
      <c r="F16" s="25"/>
      <c r="G16" s="28" t="str">
        <f t="shared" si="0"/>
        <v/>
      </c>
      <c r="H16" s="22" t="str">
        <f>IF(G16="","",IF(D16="Thấp hơn là tốt",IF(G16&lt;=1,"Đạt",IF(G16&lt;='Danh mục'!$B$18,"Cần chú ý","Không đạt")),IF(G16&gt;=1,"Đạt",IF(G16&gt;='Danh mục'!$B$17,"Cần chú ý","Không đạt"))))</f>
        <v/>
      </c>
      <c r="I16" s="25"/>
      <c r="J16" s="30" t="str">
        <f t="shared" si="1"/>
        <v/>
      </c>
    </row>
    <row r="17" spans="1:10" ht="30" customHeight="1" x14ac:dyDescent="0.3">
      <c r="A17" s="24">
        <v>3</v>
      </c>
      <c r="B17" s="17" t="s">
        <v>348</v>
      </c>
      <c r="C17" s="17" t="s">
        <v>349</v>
      </c>
      <c r="D17" s="25" t="s">
        <v>170</v>
      </c>
      <c r="E17" s="25"/>
      <c r="F17" s="25"/>
      <c r="G17" s="28" t="str">
        <f t="shared" si="0"/>
        <v/>
      </c>
      <c r="H17" s="22" t="str">
        <f>IF(G17="","",IF(D17="Thấp hơn là tốt",IF(G17&lt;=1,"Đạt",IF(G17&lt;='Danh mục'!$B$18,"Cần chú ý","Không đạt")),IF(G17&gt;=1,"Đạt",IF(G17&gt;='Danh mục'!$B$17,"Cần chú ý","Không đạt"))))</f>
        <v/>
      </c>
      <c r="I17" s="25"/>
      <c r="J17" s="30" t="str">
        <f t="shared" si="1"/>
        <v/>
      </c>
    </row>
    <row r="18" spans="1:10" ht="30" customHeight="1" x14ac:dyDescent="0.3">
      <c r="A18" s="24">
        <v>4</v>
      </c>
      <c r="B18" s="17" t="s">
        <v>350</v>
      </c>
      <c r="C18" s="17" t="s">
        <v>179</v>
      </c>
      <c r="D18" s="25" t="s">
        <v>170</v>
      </c>
      <c r="E18" s="25"/>
      <c r="F18" s="25"/>
      <c r="G18" s="28" t="str">
        <f t="shared" si="0"/>
        <v/>
      </c>
      <c r="H18" s="22" t="str">
        <f>IF(G18="","",IF(D18="Thấp hơn là tốt",IF(G18&lt;=1,"Đạt",IF(G18&lt;='Danh mục'!$B$18,"Cần chú ý","Không đạt")),IF(G18&gt;=1,"Đạt",IF(G18&gt;='Danh mục'!$B$17,"Cần chú ý","Không đạt"))))</f>
        <v/>
      </c>
      <c r="I18" s="25"/>
      <c r="J18" s="30" t="str">
        <f t="shared" si="1"/>
        <v/>
      </c>
    </row>
    <row r="19" spans="1:10" ht="30" customHeight="1" x14ac:dyDescent="0.3">
      <c r="A19" s="24">
        <v>5</v>
      </c>
      <c r="B19" s="17" t="s">
        <v>340</v>
      </c>
      <c r="C19" s="17" t="s">
        <v>179</v>
      </c>
      <c r="D19" s="25" t="s">
        <v>175</v>
      </c>
      <c r="E19" s="25"/>
      <c r="F19" s="25"/>
      <c r="G19" s="28" t="str">
        <f t="shared" si="0"/>
        <v/>
      </c>
      <c r="H19" s="22" t="str">
        <f>IF(G19="","",IF(D19="Thấp hơn là tốt",IF(G19&lt;=1,"Đạt",IF(G19&lt;='Danh mục'!$B$18,"Cần chú ý","Không đạt")),IF(G19&gt;=1,"Đạt",IF(G19&gt;='Danh mục'!$B$17,"Cần chú ý","Không đạt"))))</f>
        <v/>
      </c>
      <c r="I19" s="25"/>
      <c r="J19" s="30" t="str">
        <f t="shared" si="1"/>
        <v/>
      </c>
    </row>
    <row r="20" spans="1:10" ht="30" customHeight="1" x14ac:dyDescent="0.3">
      <c r="A20" s="24">
        <v>6</v>
      </c>
      <c r="B20" s="17" t="s">
        <v>351</v>
      </c>
      <c r="C20" s="17" t="s">
        <v>342</v>
      </c>
      <c r="D20" s="25" t="s">
        <v>175</v>
      </c>
      <c r="E20" s="25"/>
      <c r="F20" s="25"/>
      <c r="G20" s="28" t="str">
        <f t="shared" si="0"/>
        <v/>
      </c>
      <c r="H20" s="22" t="str">
        <f>IF(G20="","",IF(D20="Thấp hơn là tốt",IF(G20&lt;=1,"Đạt",IF(G20&lt;='Danh mục'!$B$18,"Cần chú ý","Không đạt")),IF(G20&gt;=1,"Đạt",IF(G20&gt;='Danh mục'!$B$17,"Cần chú ý","Không đạt"))))</f>
        <v/>
      </c>
      <c r="I20" s="25"/>
      <c r="J20" s="30" t="str">
        <f t="shared" si="1"/>
        <v/>
      </c>
    </row>
    <row r="21" spans="1:10" ht="30" customHeight="1" x14ac:dyDescent="0.3">
      <c r="A21" s="24">
        <v>7</v>
      </c>
      <c r="B21" s="17"/>
      <c r="C21" s="17"/>
      <c r="D21" s="25"/>
      <c r="E21" s="25"/>
      <c r="F21" s="25"/>
      <c r="G21" s="28" t="str">
        <f t="shared" si="0"/>
        <v/>
      </c>
      <c r="H21" s="22" t="str">
        <f>IF(G21="","",IF(D21="Thấp hơn là tốt",IF(G21&lt;=1,"Đạt",IF(G21&lt;='Danh mục'!$B$18,"Cần chú ý","Không đạt")),IF(G21&gt;=1,"Đạt",IF(G21&gt;='Danh mục'!$B$17,"Cần chú ý","Không đạt"))))</f>
        <v/>
      </c>
      <c r="I21" s="25"/>
      <c r="J21" s="30" t="str">
        <f t="shared" si="1"/>
        <v/>
      </c>
    </row>
    <row r="22" spans="1:10" ht="30" customHeight="1" x14ac:dyDescent="0.3">
      <c r="A22" s="24">
        <v>8</v>
      </c>
      <c r="B22" s="17"/>
      <c r="C22" s="17"/>
      <c r="D22" s="25"/>
      <c r="E22" s="25"/>
      <c r="F22" s="25"/>
      <c r="G22" s="28" t="str">
        <f t="shared" si="0"/>
        <v/>
      </c>
      <c r="H22" s="22" t="str">
        <f>IF(G22="","",IF(D22="Thấp hơn là tốt",IF(G22&lt;=1,"Đạt",IF(G22&lt;='Danh mục'!$B$18,"Cần chú ý","Không đạt")),IF(G22&gt;=1,"Đạt",IF(G22&gt;='Danh mục'!$B$17,"Cần chú ý","Không đạt"))))</f>
        <v/>
      </c>
      <c r="I22" s="25"/>
      <c r="J22" s="30" t="str">
        <f t="shared" si="1"/>
        <v/>
      </c>
    </row>
    <row r="24" spans="1:10" ht="19.5" customHeight="1" x14ac:dyDescent="0.3">
      <c r="A24" s="12" t="s">
        <v>199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33.75" customHeight="1" x14ac:dyDescent="0.3">
      <c r="A25" s="15" t="s">
        <v>115</v>
      </c>
      <c r="B25" s="15" t="s">
        <v>200</v>
      </c>
      <c r="C25" s="15" t="s">
        <v>201</v>
      </c>
      <c r="D25" s="15" t="s">
        <v>202</v>
      </c>
      <c r="E25" s="15" t="s">
        <v>203</v>
      </c>
      <c r="F25" s="5" t="s">
        <v>204</v>
      </c>
      <c r="G25" s="5"/>
      <c r="H25" s="5"/>
      <c r="I25" s="5"/>
      <c r="J25" s="5"/>
    </row>
    <row r="26" spans="1:10" ht="30" customHeight="1" x14ac:dyDescent="0.3">
      <c r="A26" s="24">
        <v>1</v>
      </c>
      <c r="B26" s="17" t="s">
        <v>205</v>
      </c>
      <c r="C26" s="27">
        <v>0.5</v>
      </c>
      <c r="D26" s="25"/>
      <c r="E26" s="31" t="str">
        <f>IF(D26="","",C26*D26)</f>
        <v/>
      </c>
      <c r="F26" s="3"/>
      <c r="G26" s="3"/>
      <c r="H26" s="3"/>
      <c r="I26" s="3"/>
      <c r="J26" s="3"/>
    </row>
    <row r="27" spans="1:10" ht="30" customHeight="1" x14ac:dyDescent="0.3">
      <c r="A27" s="24">
        <v>2</v>
      </c>
      <c r="B27" s="17" t="s">
        <v>206</v>
      </c>
      <c r="C27" s="27">
        <v>0.2</v>
      </c>
      <c r="D27" s="25"/>
      <c r="E27" s="31" t="str">
        <f>IF(D27="","",C27*D27)</f>
        <v/>
      </c>
      <c r="F27" s="3"/>
      <c r="G27" s="3"/>
      <c r="H27" s="3"/>
      <c r="I27" s="3"/>
      <c r="J27" s="3"/>
    </row>
    <row r="28" spans="1:10" ht="30" customHeight="1" x14ac:dyDescent="0.3">
      <c r="A28" s="24">
        <v>3</v>
      </c>
      <c r="B28" s="17" t="s">
        <v>207</v>
      </c>
      <c r="C28" s="27">
        <v>0.15</v>
      </c>
      <c r="D28" s="25"/>
      <c r="E28" s="31" t="str">
        <f>IF(D28="","",C28*D28)</f>
        <v/>
      </c>
      <c r="F28" s="3"/>
      <c r="G28" s="3"/>
      <c r="H28" s="3"/>
      <c r="I28" s="3"/>
      <c r="J28" s="3"/>
    </row>
    <row r="29" spans="1:10" ht="30" customHeight="1" x14ac:dyDescent="0.3">
      <c r="A29" s="24">
        <v>4</v>
      </c>
      <c r="B29" s="17" t="s">
        <v>208</v>
      </c>
      <c r="C29" s="27">
        <v>0.1</v>
      </c>
      <c r="D29" s="25"/>
      <c r="E29" s="31" t="str">
        <f>IF(D29="","",C29*D29)</f>
        <v/>
      </c>
      <c r="F29" s="3"/>
      <c r="G29" s="3"/>
      <c r="H29" s="3"/>
      <c r="I29" s="3"/>
      <c r="J29" s="3"/>
    </row>
    <row r="30" spans="1:10" ht="30" customHeight="1" x14ac:dyDescent="0.3">
      <c r="A30" s="24">
        <v>5</v>
      </c>
      <c r="B30" s="17" t="s">
        <v>209</v>
      </c>
      <c r="C30" s="27">
        <v>0.05</v>
      </c>
      <c r="D30" s="25"/>
      <c r="E30" s="31" t="str">
        <f>IF(D30="","",C30*D30)</f>
        <v/>
      </c>
      <c r="F30" s="3"/>
      <c r="G30" s="3"/>
      <c r="H30" s="3"/>
      <c r="I30" s="3"/>
      <c r="J30" s="3"/>
    </row>
    <row r="31" spans="1:10" x14ac:dyDescent="0.3">
      <c r="A31" s="32"/>
      <c r="B31" s="20" t="s">
        <v>210</v>
      </c>
      <c r="C31" s="23">
        <f>SUM(C26:C30)</f>
        <v>1</v>
      </c>
      <c r="D31" s="33"/>
      <c r="E31" s="29" t="str">
        <f>IF(COUNT(D26:D30)=0,"",SUM(E26:E30))</f>
        <v/>
      </c>
      <c r="F31" s="2" t="str">
        <f>IF(ROUND(C31,4)=1,"Trọng số hợp lệ (tổng 100%)","Tổng trọng số phải bằng 100%")</f>
        <v>Trọng số hợp lệ (tổng 100%)</v>
      </c>
      <c r="G31" s="2"/>
      <c r="H31" s="2"/>
      <c r="I31" s="2"/>
      <c r="J31" s="2"/>
    </row>
    <row r="32" spans="1:10" ht="15" customHeight="1" x14ac:dyDescent="0.3">
      <c r="A32" s="32"/>
      <c r="B32" s="20" t="s">
        <v>211</v>
      </c>
      <c r="C32" s="1"/>
      <c r="D32" s="1"/>
      <c r="E32" s="34" t="str">
        <f>IF(E31="","",IF(E31&gt;='Danh mục'!$B$19,"A",IF(E31&gt;='Danh mục'!$B$20,"B",IF(E31&gt;='Danh mục'!$B$21,"C","D"))))</f>
        <v/>
      </c>
      <c r="F32" s="10" t="s">
        <v>212</v>
      </c>
      <c r="G32" s="10"/>
      <c r="H32" s="10"/>
      <c r="I32" s="10"/>
      <c r="J32" s="10"/>
    </row>
    <row r="34" spans="1:10" ht="19.5" customHeight="1" x14ac:dyDescent="0.3">
      <c r="A34" s="12" t="s">
        <v>213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5" customHeight="1" x14ac:dyDescent="0.3">
      <c r="B35" s="37" t="s">
        <v>214</v>
      </c>
      <c r="C35" s="37"/>
      <c r="D35" s="37"/>
      <c r="E35" s="37"/>
      <c r="F35" s="37"/>
      <c r="G35" s="37"/>
      <c r="H35" s="37"/>
      <c r="I35" s="37"/>
      <c r="J35" s="37"/>
    </row>
    <row r="36" spans="1:10" ht="33.75" customHeight="1" x14ac:dyDescent="0.3">
      <c r="A36" s="15" t="s">
        <v>115</v>
      </c>
      <c r="B36" s="15" t="s">
        <v>74</v>
      </c>
      <c r="C36" s="15" t="s">
        <v>117</v>
      </c>
      <c r="D36" s="15" t="s">
        <v>116</v>
      </c>
      <c r="E36" s="15" t="s">
        <v>118</v>
      </c>
      <c r="F36" s="15" t="s">
        <v>215</v>
      </c>
      <c r="G36" s="15" t="s">
        <v>216</v>
      </c>
      <c r="H36" s="5" t="s">
        <v>217</v>
      </c>
      <c r="I36" s="5"/>
      <c r="J36" s="5"/>
    </row>
    <row r="37" spans="1:10" ht="30" customHeight="1" x14ac:dyDescent="0.3">
      <c r="A37" s="24">
        <v>1</v>
      </c>
      <c r="B37" s="17" t="s">
        <v>352</v>
      </c>
      <c r="C37" s="17" t="s">
        <v>123</v>
      </c>
      <c r="D37" s="25" t="s">
        <v>324</v>
      </c>
      <c r="E37" s="26">
        <v>46320</v>
      </c>
      <c r="F37" s="26">
        <v>46320</v>
      </c>
      <c r="G37" s="22" t="str">
        <f t="shared" ref="G37:G48" si="2">IF(OR(E37="",F37=""),"",IF(F37&lt;=E37,"Đúng hạn","Trễ"))</f>
        <v>Đúng hạn</v>
      </c>
      <c r="H37" s="3" t="s">
        <v>353</v>
      </c>
      <c r="I37" s="3"/>
      <c r="J37" s="3"/>
    </row>
    <row r="38" spans="1:10" ht="30" customHeight="1" x14ac:dyDescent="0.3">
      <c r="A38" s="24">
        <v>2</v>
      </c>
      <c r="B38" s="17"/>
      <c r="C38" s="17"/>
      <c r="D38" s="25"/>
      <c r="E38" s="26"/>
      <c r="F38" s="26"/>
      <c r="G38" s="22" t="str">
        <f t="shared" si="2"/>
        <v/>
      </c>
      <c r="H38" s="3"/>
      <c r="I38" s="3"/>
      <c r="J38" s="3"/>
    </row>
    <row r="39" spans="1:10" ht="30" customHeight="1" x14ac:dyDescent="0.3">
      <c r="A39" s="24">
        <v>3</v>
      </c>
      <c r="B39" s="17"/>
      <c r="C39" s="17"/>
      <c r="D39" s="25"/>
      <c r="E39" s="26"/>
      <c r="F39" s="26"/>
      <c r="G39" s="22" t="str">
        <f t="shared" si="2"/>
        <v/>
      </c>
      <c r="H39" s="3"/>
      <c r="I39" s="3"/>
      <c r="J39" s="3"/>
    </row>
    <row r="40" spans="1:10" ht="30" customHeight="1" x14ac:dyDescent="0.3">
      <c r="A40" s="24">
        <v>4</v>
      </c>
      <c r="B40" s="17"/>
      <c r="C40" s="17"/>
      <c r="D40" s="25"/>
      <c r="E40" s="26"/>
      <c r="F40" s="26"/>
      <c r="G40" s="22" t="str">
        <f t="shared" si="2"/>
        <v/>
      </c>
      <c r="H40" s="3"/>
      <c r="I40" s="3"/>
      <c r="J40" s="3"/>
    </row>
    <row r="41" spans="1:10" ht="30" customHeight="1" x14ac:dyDescent="0.3">
      <c r="A41" s="24">
        <v>5</v>
      </c>
      <c r="B41" s="17"/>
      <c r="C41" s="17"/>
      <c r="D41" s="25"/>
      <c r="E41" s="26"/>
      <c r="F41" s="26"/>
      <c r="G41" s="22" t="str">
        <f t="shared" si="2"/>
        <v/>
      </c>
      <c r="H41" s="3"/>
      <c r="I41" s="3"/>
      <c r="J41" s="3"/>
    </row>
    <row r="42" spans="1:10" ht="30" customHeight="1" x14ac:dyDescent="0.3">
      <c r="A42" s="24">
        <v>6</v>
      </c>
      <c r="B42" s="17"/>
      <c r="C42" s="17"/>
      <c r="D42" s="25"/>
      <c r="E42" s="26"/>
      <c r="F42" s="26"/>
      <c r="G42" s="22" t="str">
        <f t="shared" si="2"/>
        <v/>
      </c>
      <c r="H42" s="3"/>
      <c r="I42" s="3"/>
      <c r="J42" s="3"/>
    </row>
    <row r="43" spans="1:10" ht="30" customHeight="1" x14ac:dyDescent="0.3">
      <c r="A43" s="24">
        <v>7</v>
      </c>
      <c r="B43" s="17"/>
      <c r="C43" s="17"/>
      <c r="D43" s="25"/>
      <c r="E43" s="26"/>
      <c r="F43" s="26"/>
      <c r="G43" s="22" t="str">
        <f t="shared" si="2"/>
        <v/>
      </c>
      <c r="H43" s="3"/>
      <c r="I43" s="3"/>
      <c r="J43" s="3"/>
    </row>
    <row r="44" spans="1:10" ht="30" customHeight="1" x14ac:dyDescent="0.3">
      <c r="A44" s="24">
        <v>8</v>
      </c>
      <c r="B44" s="17"/>
      <c r="C44" s="17"/>
      <c r="D44" s="25"/>
      <c r="E44" s="26"/>
      <c r="F44" s="26"/>
      <c r="G44" s="22" t="str">
        <f t="shared" si="2"/>
        <v/>
      </c>
      <c r="H44" s="3"/>
      <c r="I44" s="3"/>
      <c r="J44" s="3"/>
    </row>
    <row r="45" spans="1:10" ht="30" customHeight="1" x14ac:dyDescent="0.3">
      <c r="A45" s="24">
        <v>9</v>
      </c>
      <c r="B45" s="17"/>
      <c r="C45" s="17"/>
      <c r="D45" s="25"/>
      <c r="E45" s="26"/>
      <c r="F45" s="26"/>
      <c r="G45" s="22" t="str">
        <f t="shared" si="2"/>
        <v/>
      </c>
      <c r="H45" s="3"/>
      <c r="I45" s="3"/>
      <c r="J45" s="3"/>
    </row>
    <row r="46" spans="1:10" ht="30" customHeight="1" x14ac:dyDescent="0.3">
      <c r="A46" s="24">
        <v>10</v>
      </c>
      <c r="B46" s="17"/>
      <c r="C46" s="17"/>
      <c r="D46" s="25"/>
      <c r="E46" s="26"/>
      <c r="F46" s="26"/>
      <c r="G46" s="22" t="str">
        <f t="shared" si="2"/>
        <v/>
      </c>
      <c r="H46" s="3"/>
      <c r="I46" s="3"/>
      <c r="J46" s="3"/>
    </row>
    <row r="47" spans="1:10" ht="30" customHeight="1" x14ac:dyDescent="0.3">
      <c r="A47" s="24">
        <v>11</v>
      </c>
      <c r="B47" s="17"/>
      <c r="C47" s="17"/>
      <c r="D47" s="25"/>
      <c r="E47" s="26"/>
      <c r="F47" s="26"/>
      <c r="G47" s="22" t="str">
        <f t="shared" si="2"/>
        <v/>
      </c>
      <c r="H47" s="3"/>
      <c r="I47" s="3"/>
      <c r="J47" s="3"/>
    </row>
    <row r="48" spans="1:10" ht="30" customHeight="1" x14ac:dyDescent="0.3">
      <c r="A48" s="24">
        <v>12</v>
      </c>
      <c r="B48" s="17"/>
      <c r="C48" s="17"/>
      <c r="D48" s="25"/>
      <c r="E48" s="26"/>
      <c r="F48" s="26"/>
      <c r="G48" s="22" t="str">
        <f t="shared" si="2"/>
        <v/>
      </c>
      <c r="H48" s="3"/>
      <c r="I48" s="3"/>
      <c r="J48" s="3"/>
    </row>
    <row r="50" spans="1:10" ht="15" customHeight="1" x14ac:dyDescent="0.3">
      <c r="B50" s="37" t="s">
        <v>221</v>
      </c>
      <c r="C50" s="37"/>
      <c r="D50" s="37"/>
      <c r="E50" s="37"/>
      <c r="F50" s="37"/>
      <c r="G50" s="37"/>
      <c r="H50" s="37"/>
      <c r="I50" s="37"/>
      <c r="J50" s="37"/>
    </row>
    <row r="51" spans="1:10" ht="33.75" customHeight="1" x14ac:dyDescent="0.3">
      <c r="A51" s="15" t="s">
        <v>115</v>
      </c>
      <c r="B51" s="15" t="s">
        <v>74</v>
      </c>
      <c r="C51" s="15" t="s">
        <v>117</v>
      </c>
      <c r="D51" s="15" t="s">
        <v>222</v>
      </c>
      <c r="E51" s="15" t="s">
        <v>140</v>
      </c>
      <c r="F51" s="15" t="s">
        <v>223</v>
      </c>
      <c r="G51" s="15" t="s">
        <v>139</v>
      </c>
      <c r="H51" s="15" t="s">
        <v>224</v>
      </c>
      <c r="I51" s="5" t="s">
        <v>142</v>
      </c>
      <c r="J51" s="5"/>
    </row>
    <row r="52" spans="1:10" ht="30" customHeight="1" x14ac:dyDescent="0.3">
      <c r="A52" s="24">
        <v>1</v>
      </c>
      <c r="B52" s="17" t="s">
        <v>354</v>
      </c>
      <c r="C52" s="17" t="s">
        <v>144</v>
      </c>
      <c r="D52" s="26">
        <v>46325</v>
      </c>
      <c r="E52" s="26">
        <v>46336</v>
      </c>
      <c r="F52" s="17" t="s">
        <v>355</v>
      </c>
      <c r="G52" s="25" t="s">
        <v>356</v>
      </c>
      <c r="H52" s="17" t="s">
        <v>357</v>
      </c>
      <c r="I52" s="3" t="s">
        <v>358</v>
      </c>
      <c r="J52" s="3"/>
    </row>
    <row r="53" spans="1:10" ht="30" customHeight="1" x14ac:dyDescent="0.3">
      <c r="A53" s="24">
        <v>2</v>
      </c>
      <c r="B53" s="17"/>
      <c r="C53" s="17"/>
      <c r="D53" s="26"/>
      <c r="E53" s="26"/>
      <c r="F53" s="17"/>
      <c r="G53" s="25"/>
      <c r="H53" s="17"/>
      <c r="I53" s="3"/>
      <c r="J53" s="3"/>
    </row>
    <row r="54" spans="1:10" ht="30" customHeight="1" x14ac:dyDescent="0.3">
      <c r="A54" s="24">
        <v>3</v>
      </c>
      <c r="B54" s="17"/>
      <c r="C54" s="17"/>
      <c r="D54" s="26"/>
      <c r="E54" s="26"/>
      <c r="F54" s="17"/>
      <c r="G54" s="25"/>
      <c r="H54" s="17"/>
      <c r="I54" s="3"/>
      <c r="J54" s="3"/>
    </row>
    <row r="55" spans="1:10" ht="30" customHeight="1" x14ac:dyDescent="0.3">
      <c r="A55" s="24">
        <v>4</v>
      </c>
      <c r="B55" s="17"/>
      <c r="C55" s="17"/>
      <c r="D55" s="26"/>
      <c r="E55" s="26"/>
      <c r="F55" s="17"/>
      <c r="G55" s="25"/>
      <c r="H55" s="17"/>
      <c r="I55" s="3"/>
      <c r="J55" s="3"/>
    </row>
    <row r="56" spans="1:10" ht="30" customHeight="1" x14ac:dyDescent="0.3">
      <c r="A56" s="24">
        <v>5</v>
      </c>
      <c r="B56" s="17"/>
      <c r="C56" s="17"/>
      <c r="D56" s="26"/>
      <c r="E56" s="26"/>
      <c r="F56" s="17"/>
      <c r="G56" s="25"/>
      <c r="H56" s="17"/>
      <c r="I56" s="3"/>
      <c r="J56" s="3"/>
    </row>
    <row r="57" spans="1:10" ht="30" customHeight="1" x14ac:dyDescent="0.3">
      <c r="A57" s="24">
        <v>6</v>
      </c>
      <c r="B57" s="17"/>
      <c r="C57" s="17"/>
      <c r="D57" s="26"/>
      <c r="E57" s="26"/>
      <c r="F57" s="17"/>
      <c r="G57" s="25"/>
      <c r="H57" s="17"/>
      <c r="I57" s="3"/>
      <c r="J57" s="3"/>
    </row>
    <row r="59" spans="1:10" ht="15" customHeight="1" x14ac:dyDescent="0.3">
      <c r="B59" s="37" t="s">
        <v>229</v>
      </c>
      <c r="C59" s="37"/>
      <c r="D59" s="37"/>
      <c r="E59" s="37"/>
      <c r="F59" s="37"/>
      <c r="G59" s="37"/>
      <c r="H59" s="37"/>
      <c r="I59" s="37"/>
      <c r="J59" s="37"/>
    </row>
    <row r="60" spans="1:10" ht="33.75" customHeight="1" x14ac:dyDescent="0.3">
      <c r="A60" s="15" t="s">
        <v>115</v>
      </c>
      <c r="B60" s="15" t="s">
        <v>74</v>
      </c>
      <c r="C60" s="15" t="s">
        <v>230</v>
      </c>
      <c r="D60" s="15" t="s">
        <v>231</v>
      </c>
      <c r="E60" s="15" t="s">
        <v>232</v>
      </c>
      <c r="F60" s="5" t="s">
        <v>224</v>
      </c>
      <c r="G60" s="5"/>
      <c r="H60" s="5"/>
      <c r="I60" s="5"/>
      <c r="J60" s="5"/>
    </row>
    <row r="61" spans="1:10" ht="30" customHeight="1" x14ac:dyDescent="0.3">
      <c r="A61" s="24">
        <v>1</v>
      </c>
      <c r="B61" s="17" t="s">
        <v>359</v>
      </c>
      <c r="C61" s="25" t="s">
        <v>360</v>
      </c>
      <c r="D61" s="17" t="s">
        <v>336</v>
      </c>
      <c r="E61" s="26">
        <v>46305</v>
      </c>
      <c r="F61" s="3" t="s">
        <v>361</v>
      </c>
      <c r="G61" s="3"/>
      <c r="H61" s="3"/>
      <c r="I61" s="3"/>
      <c r="J61" s="3"/>
    </row>
    <row r="62" spans="1:10" ht="30" customHeight="1" x14ac:dyDescent="0.3">
      <c r="A62" s="24">
        <v>2</v>
      </c>
      <c r="B62" s="17"/>
      <c r="C62" s="25"/>
      <c r="D62" s="17"/>
      <c r="E62" s="26"/>
      <c r="F62" s="3"/>
      <c r="G62" s="3"/>
      <c r="H62" s="3"/>
      <c r="I62" s="3"/>
      <c r="J62" s="3"/>
    </row>
    <row r="63" spans="1:10" ht="30" customHeight="1" x14ac:dyDescent="0.3">
      <c r="A63" s="24">
        <v>3</v>
      </c>
      <c r="B63" s="17"/>
      <c r="C63" s="25"/>
      <c r="D63" s="17"/>
      <c r="E63" s="26"/>
      <c r="F63" s="3"/>
      <c r="G63" s="3"/>
      <c r="H63" s="3"/>
      <c r="I63" s="3"/>
      <c r="J63" s="3"/>
    </row>
    <row r="64" spans="1:10" ht="30" customHeight="1" x14ac:dyDescent="0.3">
      <c r="A64" s="24">
        <v>4</v>
      </c>
      <c r="B64" s="17"/>
      <c r="C64" s="25"/>
      <c r="D64" s="17"/>
      <c r="E64" s="26"/>
      <c r="F64" s="3"/>
      <c r="G64" s="3"/>
      <c r="H64" s="3"/>
      <c r="I64" s="3"/>
      <c r="J64" s="3"/>
    </row>
    <row r="66" spans="1:10" ht="19.5" customHeight="1" x14ac:dyDescent="0.3">
      <c r="A66" s="12" t="s">
        <v>236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33.75" customHeight="1" x14ac:dyDescent="0.3">
      <c r="A67" s="15" t="s">
        <v>115</v>
      </c>
      <c r="B67" s="15" t="s">
        <v>154</v>
      </c>
      <c r="C67" s="5" t="s">
        <v>237</v>
      </c>
      <c r="D67" s="5"/>
      <c r="E67" s="5" t="s">
        <v>238</v>
      </c>
      <c r="F67" s="5"/>
      <c r="G67" s="5" t="s">
        <v>142</v>
      </c>
      <c r="H67" s="5"/>
      <c r="I67" s="15" t="s">
        <v>239</v>
      </c>
      <c r="J67" s="15" t="s">
        <v>118</v>
      </c>
    </row>
    <row r="68" spans="1:10" ht="30" customHeight="1" x14ac:dyDescent="0.3">
      <c r="A68" s="24">
        <v>1</v>
      </c>
      <c r="B68" s="17" t="s">
        <v>362</v>
      </c>
      <c r="C68" s="3" t="s">
        <v>363</v>
      </c>
      <c r="D68" s="3"/>
      <c r="E68" s="3" t="s">
        <v>364</v>
      </c>
      <c r="F68" s="3"/>
      <c r="G68" s="3" t="s">
        <v>365</v>
      </c>
      <c r="H68" s="3"/>
      <c r="I68" s="17" t="s">
        <v>336</v>
      </c>
      <c r="J68" s="26">
        <v>46341</v>
      </c>
    </row>
    <row r="69" spans="1:10" ht="30" customHeight="1" x14ac:dyDescent="0.3">
      <c r="A69" s="24">
        <v>2</v>
      </c>
      <c r="B69" s="17"/>
      <c r="C69" s="3"/>
      <c r="D69" s="3"/>
      <c r="E69" s="3"/>
      <c r="F69" s="3"/>
      <c r="G69" s="3"/>
      <c r="H69" s="3"/>
      <c r="I69" s="17"/>
      <c r="J69" s="26"/>
    </row>
    <row r="70" spans="1:10" ht="30" customHeight="1" x14ac:dyDescent="0.3">
      <c r="A70" s="24">
        <v>3</v>
      </c>
      <c r="B70" s="17"/>
      <c r="C70" s="3"/>
      <c r="D70" s="3"/>
      <c r="E70" s="3"/>
      <c r="F70" s="3"/>
      <c r="G70" s="3"/>
      <c r="H70" s="3"/>
      <c r="I70" s="17"/>
      <c r="J70" s="26"/>
    </row>
    <row r="71" spans="1:10" ht="30" customHeight="1" x14ac:dyDescent="0.3">
      <c r="A71" s="24">
        <v>4</v>
      </c>
      <c r="B71" s="17"/>
      <c r="C71" s="3"/>
      <c r="D71" s="3"/>
      <c r="E71" s="3"/>
      <c r="F71" s="3"/>
      <c r="G71" s="3"/>
      <c r="H71" s="3"/>
      <c r="I71" s="17"/>
      <c r="J71" s="26"/>
    </row>
    <row r="72" spans="1:10" ht="30" customHeight="1" x14ac:dyDescent="0.3">
      <c r="A72" s="24">
        <v>5</v>
      </c>
      <c r="B72" s="17"/>
      <c r="C72" s="3"/>
      <c r="D72" s="3"/>
      <c r="E72" s="3"/>
      <c r="F72" s="3"/>
      <c r="G72" s="3"/>
      <c r="H72" s="3"/>
      <c r="I72" s="17"/>
      <c r="J72" s="26"/>
    </row>
    <row r="74" spans="1:10" ht="19.5" customHeight="1" x14ac:dyDescent="0.3">
      <c r="A74" s="12" t="s">
        <v>244</v>
      </c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33.75" customHeight="1" x14ac:dyDescent="0.3">
      <c r="A75" s="15" t="s">
        <v>115</v>
      </c>
      <c r="B75" s="15" t="s">
        <v>245</v>
      </c>
      <c r="C75" s="15" t="s">
        <v>116</v>
      </c>
      <c r="D75" s="5" t="s">
        <v>246</v>
      </c>
      <c r="E75" s="5"/>
      <c r="F75" s="5"/>
      <c r="G75" s="15" t="s">
        <v>247</v>
      </c>
      <c r="H75" s="15" t="s">
        <v>248</v>
      </c>
      <c r="I75" s="5" t="s">
        <v>249</v>
      </c>
      <c r="J75" s="5"/>
    </row>
    <row r="76" spans="1:10" ht="30" customHeight="1" x14ac:dyDescent="0.3">
      <c r="A76" s="24">
        <v>1</v>
      </c>
      <c r="B76" s="17" t="s">
        <v>123</v>
      </c>
      <c r="C76" s="25" t="s">
        <v>324</v>
      </c>
      <c r="D76" s="3" t="s">
        <v>366</v>
      </c>
      <c r="E76" s="3"/>
      <c r="F76" s="3"/>
      <c r="G76" s="27">
        <v>0.4</v>
      </c>
      <c r="H76" s="25">
        <v>4</v>
      </c>
      <c r="I76" s="3" t="s">
        <v>367</v>
      </c>
      <c r="J76" s="3"/>
    </row>
    <row r="77" spans="1:10" ht="30" customHeight="1" x14ac:dyDescent="0.3">
      <c r="A77" s="24">
        <v>2</v>
      </c>
      <c r="B77" s="17"/>
      <c r="C77" s="25"/>
      <c r="D77" s="3"/>
      <c r="E77" s="3"/>
      <c r="F77" s="3"/>
      <c r="G77" s="27"/>
      <c r="H77" s="25"/>
      <c r="I77" s="3"/>
      <c r="J77" s="3"/>
    </row>
    <row r="78" spans="1:10" ht="30" customHeight="1" x14ac:dyDescent="0.3">
      <c r="A78" s="24">
        <v>3</v>
      </c>
      <c r="B78" s="17"/>
      <c r="C78" s="25"/>
      <c r="D78" s="3"/>
      <c r="E78" s="3"/>
      <c r="F78" s="3"/>
      <c r="G78" s="27"/>
      <c r="H78" s="25"/>
      <c r="I78" s="3"/>
      <c r="J78" s="3"/>
    </row>
    <row r="79" spans="1:10" ht="30" customHeight="1" x14ac:dyDescent="0.3">
      <c r="A79" s="24">
        <v>4</v>
      </c>
      <c r="B79" s="17"/>
      <c r="C79" s="25"/>
      <c r="D79" s="3"/>
      <c r="E79" s="3"/>
      <c r="F79" s="3"/>
      <c r="G79" s="27"/>
      <c r="H79" s="25"/>
      <c r="I79" s="3"/>
      <c r="J79" s="3"/>
    </row>
    <row r="80" spans="1:10" ht="30" customHeight="1" x14ac:dyDescent="0.3">
      <c r="A80" s="24">
        <v>5</v>
      </c>
      <c r="B80" s="17"/>
      <c r="C80" s="25"/>
      <c r="D80" s="3"/>
      <c r="E80" s="3"/>
      <c r="F80" s="3"/>
      <c r="G80" s="27"/>
      <c r="H80" s="25"/>
      <c r="I80" s="3"/>
      <c r="J80" s="3"/>
    </row>
    <row r="81" spans="1:10" ht="30" customHeight="1" x14ac:dyDescent="0.3">
      <c r="A81" s="24">
        <v>6</v>
      </c>
      <c r="B81" s="17"/>
      <c r="C81" s="25"/>
      <c r="D81" s="3"/>
      <c r="E81" s="3"/>
      <c r="F81" s="3"/>
      <c r="G81" s="27"/>
      <c r="H81" s="25"/>
      <c r="I81" s="3"/>
      <c r="J81" s="3"/>
    </row>
    <row r="82" spans="1:10" ht="30" customHeight="1" x14ac:dyDescent="0.3">
      <c r="A82" s="24">
        <v>7</v>
      </c>
      <c r="B82" s="17"/>
      <c r="C82" s="25"/>
      <c r="D82" s="3"/>
      <c r="E82" s="3"/>
      <c r="F82" s="3"/>
      <c r="G82" s="27"/>
      <c r="H82" s="25"/>
      <c r="I82" s="3"/>
      <c r="J82" s="3"/>
    </row>
    <row r="83" spans="1:10" ht="30" customHeight="1" x14ac:dyDescent="0.3">
      <c r="A83" s="24">
        <v>8</v>
      </c>
      <c r="B83" s="17"/>
      <c r="C83" s="25"/>
      <c r="D83" s="3"/>
      <c r="E83" s="3"/>
      <c r="F83" s="3"/>
      <c r="G83" s="27"/>
      <c r="H83" s="25"/>
      <c r="I83" s="3"/>
      <c r="J83" s="3"/>
    </row>
    <row r="84" spans="1:10" ht="15" customHeight="1" x14ac:dyDescent="0.3">
      <c r="A84" s="32"/>
      <c r="B84" s="8" t="s">
        <v>252</v>
      </c>
      <c r="C84" s="8"/>
      <c r="D84" s="8"/>
      <c r="E84" s="8"/>
      <c r="F84" s="8"/>
      <c r="G84" s="23">
        <f>SUM(G76:G83)</f>
        <v>0.4</v>
      </c>
      <c r="H84" s="2" t="str">
        <f>IF(G84=0,"",IF(ROUND(G84,4)=1,"Đủ 100%","Chưa đủ 100%"))</f>
        <v>Chưa đủ 100%</v>
      </c>
      <c r="I84" s="2"/>
      <c r="J84" s="2"/>
    </row>
    <row r="86" spans="1:10" ht="19.5" customHeight="1" x14ac:dyDescent="0.3">
      <c r="A86" s="12" t="s">
        <v>253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33.75" customHeight="1" x14ac:dyDescent="0.3">
      <c r="A87" s="15" t="s">
        <v>115</v>
      </c>
      <c r="B87" s="15" t="s">
        <v>254</v>
      </c>
      <c r="C87" s="15" t="s">
        <v>255</v>
      </c>
      <c r="D87" s="15" t="s">
        <v>117</v>
      </c>
      <c r="E87" s="15" t="s">
        <v>118</v>
      </c>
      <c r="F87" s="5" t="s">
        <v>256</v>
      </c>
      <c r="G87" s="5"/>
      <c r="H87" s="5"/>
      <c r="I87" s="5"/>
      <c r="J87" s="5"/>
    </row>
    <row r="88" spans="1:10" ht="30" customHeight="1" x14ac:dyDescent="0.3">
      <c r="A88" s="24">
        <v>1</v>
      </c>
      <c r="B88" s="17" t="s">
        <v>368</v>
      </c>
      <c r="C88" s="25" t="s">
        <v>258</v>
      </c>
      <c r="D88" s="17" t="s">
        <v>123</v>
      </c>
      <c r="E88" s="26">
        <v>46346</v>
      </c>
      <c r="F88" s="3" t="s">
        <v>369</v>
      </c>
      <c r="G88" s="3"/>
      <c r="H88" s="3"/>
      <c r="I88" s="3"/>
      <c r="J88" s="3"/>
    </row>
    <row r="89" spans="1:10" ht="30" customHeight="1" x14ac:dyDescent="0.3">
      <c r="A89" s="24">
        <v>2</v>
      </c>
      <c r="B89" s="17"/>
      <c r="C89" s="25"/>
      <c r="D89" s="17"/>
      <c r="E89" s="26"/>
      <c r="F89" s="3"/>
      <c r="G89" s="3"/>
      <c r="H89" s="3"/>
      <c r="I89" s="3"/>
      <c r="J89" s="3"/>
    </row>
    <row r="90" spans="1:10" ht="30" customHeight="1" x14ac:dyDescent="0.3">
      <c r="A90" s="24">
        <v>3</v>
      </c>
      <c r="B90" s="17"/>
      <c r="C90" s="25"/>
      <c r="D90" s="17"/>
      <c r="E90" s="26"/>
      <c r="F90" s="3"/>
      <c r="G90" s="3"/>
      <c r="H90" s="3"/>
      <c r="I90" s="3"/>
      <c r="J90" s="3"/>
    </row>
    <row r="91" spans="1:10" ht="30" customHeight="1" x14ac:dyDescent="0.3">
      <c r="A91" s="24">
        <v>4</v>
      </c>
      <c r="B91" s="17"/>
      <c r="C91" s="25"/>
      <c r="D91" s="17"/>
      <c r="E91" s="26"/>
      <c r="F91" s="3"/>
      <c r="G91" s="3"/>
      <c r="H91" s="3"/>
      <c r="I91" s="3"/>
      <c r="J91" s="3"/>
    </row>
    <row r="92" spans="1:10" ht="30" customHeight="1" x14ac:dyDescent="0.3">
      <c r="A92" s="24">
        <v>5</v>
      </c>
      <c r="B92" s="17"/>
      <c r="C92" s="25"/>
      <c r="D92" s="17"/>
      <c r="E92" s="26"/>
      <c r="F92" s="3"/>
      <c r="G92" s="3"/>
      <c r="H92" s="3"/>
      <c r="I92" s="3"/>
      <c r="J92" s="3"/>
    </row>
    <row r="93" spans="1:10" ht="30" customHeight="1" x14ac:dyDescent="0.3">
      <c r="A93" s="24">
        <v>6</v>
      </c>
      <c r="B93" s="17"/>
      <c r="C93" s="25"/>
      <c r="D93" s="17"/>
      <c r="E93" s="26"/>
      <c r="F93" s="3"/>
      <c r="G93" s="3"/>
      <c r="H93" s="3"/>
      <c r="I93" s="3"/>
      <c r="J93" s="3"/>
    </row>
    <row r="94" spans="1:10" ht="30" customHeight="1" x14ac:dyDescent="0.3">
      <c r="A94" s="24">
        <v>7</v>
      </c>
      <c r="B94" s="17"/>
      <c r="C94" s="25"/>
      <c r="D94" s="17"/>
      <c r="E94" s="26"/>
      <c r="F94" s="3"/>
      <c r="G94" s="3"/>
      <c r="H94" s="3"/>
      <c r="I94" s="3"/>
      <c r="J94" s="3"/>
    </row>
    <row r="95" spans="1:10" ht="30" customHeight="1" x14ac:dyDescent="0.3">
      <c r="A95" s="24">
        <v>8</v>
      </c>
      <c r="B95" s="17"/>
      <c r="C95" s="25"/>
      <c r="D95" s="17"/>
      <c r="E95" s="26"/>
      <c r="F95" s="3"/>
      <c r="G95" s="3"/>
      <c r="H95" s="3"/>
      <c r="I95" s="3"/>
      <c r="J95" s="3"/>
    </row>
    <row r="97" spans="1:10" ht="19.5" customHeight="1" x14ac:dyDescent="0.3">
      <c r="A97" s="12" t="s">
        <v>260</v>
      </c>
      <c r="B97" s="12"/>
      <c r="C97" s="12"/>
      <c r="D97" s="12"/>
      <c r="E97" s="12"/>
      <c r="F97" s="12"/>
      <c r="G97" s="12"/>
      <c r="H97" s="12"/>
      <c r="I97" s="12"/>
      <c r="J97" s="12"/>
    </row>
    <row r="98" spans="1:10" ht="33.75" customHeight="1" x14ac:dyDescent="0.3">
      <c r="A98" s="15" t="s">
        <v>115</v>
      </c>
      <c r="B98" s="15" t="s">
        <v>82</v>
      </c>
      <c r="C98" s="5" t="s">
        <v>224</v>
      </c>
      <c r="D98" s="5"/>
      <c r="E98" s="5"/>
      <c r="F98" s="5" t="s">
        <v>261</v>
      </c>
      <c r="G98" s="5"/>
      <c r="H98" s="15" t="s">
        <v>118</v>
      </c>
      <c r="I98" s="5" t="s">
        <v>131</v>
      </c>
      <c r="J98" s="5"/>
    </row>
    <row r="99" spans="1:10" ht="30" customHeight="1" x14ac:dyDescent="0.3">
      <c r="A99" s="24">
        <v>1</v>
      </c>
      <c r="B99" s="17" t="s">
        <v>370</v>
      </c>
      <c r="C99" s="3" t="s">
        <v>371</v>
      </c>
      <c r="D99" s="3"/>
      <c r="E99" s="3"/>
      <c r="F99" s="3" t="s">
        <v>135</v>
      </c>
      <c r="G99" s="3"/>
      <c r="H99" s="26">
        <v>46331</v>
      </c>
      <c r="I99" s="3"/>
      <c r="J99" s="3"/>
    </row>
    <row r="100" spans="1:10" ht="30" customHeight="1" x14ac:dyDescent="0.3">
      <c r="A100" s="24">
        <v>2</v>
      </c>
      <c r="B100" s="17"/>
      <c r="C100" s="3"/>
      <c r="D100" s="3"/>
      <c r="E100" s="3"/>
      <c r="F100" s="3"/>
      <c r="G100" s="3"/>
      <c r="H100" s="26"/>
      <c r="I100" s="3"/>
      <c r="J100" s="3"/>
    </row>
    <row r="101" spans="1:10" ht="30" customHeight="1" x14ac:dyDescent="0.3">
      <c r="A101" s="24">
        <v>3</v>
      </c>
      <c r="B101" s="17"/>
      <c r="C101" s="3"/>
      <c r="D101" s="3"/>
      <c r="E101" s="3"/>
      <c r="F101" s="3"/>
      <c r="G101" s="3"/>
      <c r="H101" s="26"/>
      <c r="I101" s="3"/>
      <c r="J101" s="3"/>
    </row>
    <row r="102" spans="1:10" ht="30" customHeight="1" x14ac:dyDescent="0.3">
      <c r="A102" s="24">
        <v>4</v>
      </c>
      <c r="B102" s="17"/>
      <c r="C102" s="3"/>
      <c r="D102" s="3"/>
      <c r="E102" s="3"/>
      <c r="F102" s="3"/>
      <c r="G102" s="3"/>
      <c r="H102" s="26"/>
      <c r="I102" s="3"/>
      <c r="J102" s="3"/>
    </row>
    <row r="103" spans="1:10" ht="30" customHeight="1" x14ac:dyDescent="0.3">
      <c r="A103" s="24">
        <v>5</v>
      </c>
      <c r="B103" s="17"/>
      <c r="C103" s="3"/>
      <c r="D103" s="3"/>
      <c r="E103" s="3"/>
      <c r="F103" s="3"/>
      <c r="G103" s="3"/>
      <c r="H103" s="26"/>
      <c r="I103" s="3"/>
      <c r="J103" s="3"/>
    </row>
  </sheetData>
  <mergeCells count="122">
    <mergeCell ref="C103:E103"/>
    <mergeCell ref="F103:G103"/>
    <mergeCell ref="I103:J103"/>
    <mergeCell ref="C100:E100"/>
    <mergeCell ref="F100:G100"/>
    <mergeCell ref="I100:J100"/>
    <mergeCell ref="C101:E101"/>
    <mergeCell ref="F101:G101"/>
    <mergeCell ref="I101:J101"/>
    <mergeCell ref="C102:E102"/>
    <mergeCell ref="F102:G102"/>
    <mergeCell ref="I102:J102"/>
    <mergeCell ref="F93:J93"/>
    <mergeCell ref="F94:J94"/>
    <mergeCell ref="F95:J95"/>
    <mergeCell ref="A97:J97"/>
    <mergeCell ref="C98:E98"/>
    <mergeCell ref="F98:G98"/>
    <mergeCell ref="I98:J98"/>
    <mergeCell ref="C99:E99"/>
    <mergeCell ref="F99:G99"/>
    <mergeCell ref="I99:J99"/>
    <mergeCell ref="B84:F84"/>
    <mergeCell ref="H84:J84"/>
    <mergeCell ref="A86:J86"/>
    <mergeCell ref="F87:J87"/>
    <mergeCell ref="F88:J88"/>
    <mergeCell ref="F89:J89"/>
    <mergeCell ref="F90:J90"/>
    <mergeCell ref="F91:J91"/>
    <mergeCell ref="F92:J92"/>
    <mergeCell ref="D79:F79"/>
    <mergeCell ref="I79:J79"/>
    <mergeCell ref="D80:F80"/>
    <mergeCell ref="I80:J80"/>
    <mergeCell ref="D81:F81"/>
    <mergeCell ref="I81:J81"/>
    <mergeCell ref="D82:F82"/>
    <mergeCell ref="I82:J82"/>
    <mergeCell ref="D83:F83"/>
    <mergeCell ref="I83:J83"/>
    <mergeCell ref="A74:J74"/>
    <mergeCell ref="D75:F75"/>
    <mergeCell ref="I75:J75"/>
    <mergeCell ref="D76:F76"/>
    <mergeCell ref="I76:J76"/>
    <mergeCell ref="D77:F77"/>
    <mergeCell ref="I77:J77"/>
    <mergeCell ref="D78:F78"/>
    <mergeCell ref="I78:J78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I56:J56"/>
    <mergeCell ref="I57:J57"/>
    <mergeCell ref="B59:J59"/>
    <mergeCell ref="F60:J60"/>
    <mergeCell ref="F61:J61"/>
    <mergeCell ref="F62:J62"/>
    <mergeCell ref="F63:J63"/>
    <mergeCell ref="F64:J64"/>
    <mergeCell ref="A66:J66"/>
    <mergeCell ref="H46:J46"/>
    <mergeCell ref="H47:J47"/>
    <mergeCell ref="H48:J48"/>
    <mergeCell ref="B50:J50"/>
    <mergeCell ref="I51:J51"/>
    <mergeCell ref="I52:J52"/>
    <mergeCell ref="I53:J53"/>
    <mergeCell ref="I54:J54"/>
    <mergeCell ref="I55:J55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F28:J28"/>
    <mergeCell ref="F29:J29"/>
    <mergeCell ref="F30:J30"/>
    <mergeCell ref="F31:J31"/>
    <mergeCell ref="C32:D32"/>
    <mergeCell ref="F32:J32"/>
    <mergeCell ref="A34:J34"/>
    <mergeCell ref="B35:J35"/>
    <mergeCell ref="H36:J36"/>
    <mergeCell ref="C7:D7"/>
    <mergeCell ref="E7:F7"/>
    <mergeCell ref="G7:H7"/>
    <mergeCell ref="A9:J9"/>
    <mergeCell ref="A13:J13"/>
    <mergeCell ref="A24:J24"/>
    <mergeCell ref="F25:J25"/>
    <mergeCell ref="F26:J26"/>
    <mergeCell ref="F27:J27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G37:G48">
    <cfRule type="cellIs" dxfId="22" priority="5" operator="equal">
      <formula>"Đúng hạn"</formula>
    </cfRule>
    <cfRule type="cellIs" dxfId="21" priority="6" operator="equal">
      <formula>"Trễ"</formula>
    </cfRule>
  </conditionalFormatting>
  <conditionalFormatting sqref="G52:G57">
    <cfRule type="cellIs" dxfId="20" priority="7" operator="equal">
      <formula>"Cao"</formula>
    </cfRule>
  </conditionalFormatting>
  <conditionalFormatting sqref="H15:H22">
    <cfRule type="cellIs" dxfId="19" priority="2" operator="equal">
      <formula>"Đạt"</formula>
    </cfRule>
    <cfRule type="cellIs" dxfId="18" priority="3" operator="equal">
      <formula>"Cần chú ý"</formula>
    </cfRule>
    <cfRule type="cellIs" dxfId="17" priority="4" operator="equal">
      <formula>"Không đạt"</formula>
    </cfRule>
  </conditionalFormatting>
  <dataValidations count="5">
    <dataValidation type="decimal" allowBlank="1" showErrorMessage="1" errorTitle="Giá trị không hợp lệ" error="Nhập từ 0% đến 100%" sqref="G76:G83" xr:uid="{00000000-0002-0000-0600-000000000000}">
      <formula1>0</formula1>
      <formula2>1</formula2>
    </dataValidation>
    <dataValidation type="decimal" allowBlank="1" showErrorMessage="1" errorTitle="Giá trị không hợp lệ" error="Nhập điểm từ 0 đến 10" sqref="D26:D30" xr:uid="{00000000-0002-0000-0600-000001000000}">
      <formula1>0</formula1>
      <formula2>10</formula2>
    </dataValidation>
    <dataValidation type="list" allowBlank="1" sqref="D15:D22" xr:uid="{00000000-0002-0000-0600-000002000000}">
      <formula1>"Cao hơn là tốt,Thấp hơn là tốt"</formula1>
      <formula2>0</formula2>
    </dataValidation>
    <dataValidation type="list" allowBlank="1" sqref="H76:H83" xr:uid="{00000000-0002-0000-0600-000007000000}">
      <formula1>"1,2,3,4,5"</formula1>
      <formula2>0</formula2>
    </dataValidation>
    <dataValidation type="list" allowBlank="1" sqref="C88:C95" xr:uid="{00000000-0002-0000-0600-000008000000}">
      <formula1>"R,A,C,I"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3000000}">
          <x14:formula1>
            <xm:f>'Danh mục'!$M$5:$M$10</xm:f>
          </x14:formula1>
          <x14:formula2>
            <xm:f>0</xm:f>
          </x14:formula2>
          <xm:sqref>D37:D48 C76:C83</xm:sqref>
        </x14:dataValidation>
        <x14:dataValidation type="list" allowBlank="1" xr:uid="{00000000-0002-0000-0600-000004000000}">
          <x14:formula1>
            <xm:f>'Danh mục'!$D$5:$D$7</xm:f>
          </x14:formula1>
          <x14:formula2>
            <xm:f>0</xm:f>
          </x14:formula2>
          <xm:sqref>G52:G57</xm:sqref>
        </x14:dataValidation>
        <x14:dataValidation type="list" allowBlank="1" xr:uid="{00000000-0002-0000-0600-000005000000}">
          <x14:formula1>
            <xm:f>'Danh mục'!$I$5:$I$6</xm:f>
          </x14:formula1>
          <x14:formula2>
            <xm:f>0</xm:f>
          </x14:formula2>
          <xm:sqref>C61:C64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  <pageSetUpPr fitToPage="1"/>
  </sheetPr>
  <dimension ref="A1:J80"/>
  <sheetViews>
    <sheetView showGridLines="0" zoomScaleNormal="100" workbookViewId="0">
      <pane ySplit="2" topLeftCell="A11" activePane="bottomLeft" state="frozen"/>
      <selection pane="bottomLeft" activeCell="D24" sqref="D24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372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373</v>
      </c>
      <c r="D5" s="9"/>
      <c r="E5" s="8" t="s">
        <v>98</v>
      </c>
      <c r="F5" s="8"/>
      <c r="G5" s="9">
        <v>41</v>
      </c>
      <c r="H5" s="9"/>
    </row>
    <row r="6" spans="1:10" ht="19.5" customHeight="1" x14ac:dyDescent="0.3">
      <c r="B6" s="20" t="s">
        <v>99</v>
      </c>
      <c r="C6" s="7">
        <v>46300</v>
      </c>
      <c r="D6" s="7"/>
      <c r="E6" s="8" t="s">
        <v>100</v>
      </c>
      <c r="F6" s="8"/>
      <c r="G6" s="6">
        <f>C6+6</f>
        <v>46306</v>
      </c>
      <c r="H6" s="6"/>
    </row>
    <row r="7" spans="1:10" ht="19.5" customHeight="1" x14ac:dyDescent="0.3">
      <c r="B7" s="20" t="s">
        <v>101</v>
      </c>
      <c r="C7" s="9"/>
      <c r="D7" s="9"/>
      <c r="E7" s="8" t="s">
        <v>102</v>
      </c>
      <c r="F7" s="8"/>
      <c r="G7" s="9"/>
      <c r="H7" s="9"/>
    </row>
    <row r="8" spans="1:10" ht="19.5" customHeight="1" x14ac:dyDescent="0.3">
      <c r="B8" s="20" t="s">
        <v>103</v>
      </c>
      <c r="C8" s="9" t="s">
        <v>63</v>
      </c>
      <c r="D8" s="9"/>
      <c r="E8" s="8" t="s">
        <v>104</v>
      </c>
      <c r="F8" s="8"/>
      <c r="G8" s="9"/>
      <c r="H8" s="9"/>
    </row>
    <row r="10" spans="1:10" ht="19.5" customHeight="1" x14ac:dyDescent="0.3">
      <c r="A10" s="12" t="s">
        <v>105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30" customHeight="1" x14ac:dyDescent="0.3">
      <c r="B11" s="15" t="s">
        <v>106</v>
      </c>
      <c r="C11" s="15" t="s">
        <v>107</v>
      </c>
      <c r="D11" s="15" t="s">
        <v>108</v>
      </c>
      <c r="E11" s="15" t="s">
        <v>109</v>
      </c>
      <c r="F11" s="15" t="s">
        <v>110</v>
      </c>
      <c r="G11" s="15" t="s">
        <v>111</v>
      </c>
      <c r="H11" s="15" t="s">
        <v>112</v>
      </c>
      <c r="I11" s="5" t="s">
        <v>113</v>
      </c>
      <c r="J11" s="5"/>
    </row>
    <row r="12" spans="1:10" ht="21.75" customHeight="1" x14ac:dyDescent="0.3">
      <c r="B12" s="21">
        <f>COUNTA(B16:B30)</f>
        <v>1</v>
      </c>
      <c r="C12" s="22">
        <f>COUNTIF(F16:F30,"Done")</f>
        <v>1</v>
      </c>
      <c r="D12" s="22">
        <f>COUNTIF(F16:F30,"In Progress")</f>
        <v>0</v>
      </c>
      <c r="E12" s="22">
        <f>COUNTIF(F16:F30,"Blocked")</f>
        <v>0</v>
      </c>
      <c r="F12" s="22">
        <f>COUNTIF(F16:F30,"Pending")</f>
        <v>0</v>
      </c>
      <c r="G12" s="22">
        <f>COUNTIF(F16:F30,"Overdue")</f>
        <v>0</v>
      </c>
      <c r="H12" s="23">
        <f>IFERROR(AVERAGE(G16:G30),"")</f>
        <v>1</v>
      </c>
      <c r="I12" s="4">
        <f>IFERROR(C12/B12,"")</f>
        <v>1</v>
      </c>
      <c r="J12" s="4"/>
    </row>
    <row r="14" spans="1:10" ht="19.5" customHeight="1" x14ac:dyDescent="0.3">
      <c r="A14" s="12" t="s">
        <v>114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33.75" customHeight="1" x14ac:dyDescent="0.3">
      <c r="A15" s="15" t="s">
        <v>115</v>
      </c>
      <c r="B15" s="15" t="s">
        <v>74</v>
      </c>
      <c r="C15" s="15" t="s">
        <v>116</v>
      </c>
      <c r="D15" s="15" t="s">
        <v>117</v>
      </c>
      <c r="E15" s="15" t="s">
        <v>118</v>
      </c>
      <c r="F15" s="15" t="s">
        <v>50</v>
      </c>
      <c r="G15" s="15" t="s">
        <v>119</v>
      </c>
      <c r="H15" s="5" t="s">
        <v>120</v>
      </c>
      <c r="I15" s="5"/>
      <c r="J15" s="5"/>
    </row>
    <row r="16" spans="1:10" ht="30" customHeight="1" x14ac:dyDescent="0.3">
      <c r="A16" s="24">
        <v>1</v>
      </c>
      <c r="B16" s="17" t="s">
        <v>374</v>
      </c>
      <c r="C16" s="25" t="s">
        <v>375</v>
      </c>
      <c r="D16" s="17" t="s">
        <v>123</v>
      </c>
      <c r="E16" s="26">
        <v>46303</v>
      </c>
      <c r="F16" s="25" t="s">
        <v>107</v>
      </c>
      <c r="G16" s="27">
        <v>1</v>
      </c>
      <c r="H16" s="3" t="s">
        <v>376</v>
      </c>
      <c r="I16" s="3"/>
      <c r="J16" s="3"/>
    </row>
    <row r="17" spans="1:10" ht="30" customHeight="1" x14ac:dyDescent="0.3">
      <c r="A17" s="24">
        <v>2</v>
      </c>
      <c r="B17" s="17"/>
      <c r="C17" s="25"/>
      <c r="D17" s="17"/>
      <c r="E17" s="26"/>
      <c r="F17" s="25"/>
      <c r="G17" s="27"/>
      <c r="H17" s="3"/>
      <c r="I17" s="3"/>
      <c r="J17" s="3"/>
    </row>
    <row r="18" spans="1:10" ht="30" customHeight="1" x14ac:dyDescent="0.3">
      <c r="A18" s="24">
        <v>3</v>
      </c>
      <c r="B18" s="17"/>
      <c r="C18" s="25"/>
      <c r="D18" s="17"/>
      <c r="E18" s="26"/>
      <c r="F18" s="25"/>
      <c r="G18" s="27"/>
      <c r="H18" s="3"/>
      <c r="I18" s="3"/>
      <c r="J18" s="3"/>
    </row>
    <row r="19" spans="1:10" ht="30" customHeight="1" x14ac:dyDescent="0.3">
      <c r="A19" s="24">
        <v>4</v>
      </c>
      <c r="B19" s="17"/>
      <c r="C19" s="25"/>
      <c r="D19" s="17"/>
      <c r="E19" s="26"/>
      <c r="F19" s="25"/>
      <c r="G19" s="27"/>
      <c r="H19" s="3"/>
      <c r="I19" s="3"/>
      <c r="J19" s="3"/>
    </row>
    <row r="20" spans="1:10" ht="30" customHeight="1" x14ac:dyDescent="0.3">
      <c r="A20" s="24">
        <v>5</v>
      </c>
      <c r="B20" s="17"/>
      <c r="C20" s="25"/>
      <c r="D20" s="17"/>
      <c r="E20" s="26"/>
      <c r="F20" s="25"/>
      <c r="G20" s="27"/>
      <c r="H20" s="3"/>
      <c r="I20" s="3"/>
      <c r="J20" s="3"/>
    </row>
    <row r="21" spans="1:10" ht="30" customHeight="1" x14ac:dyDescent="0.3">
      <c r="A21" s="24">
        <v>6</v>
      </c>
      <c r="B21" s="17"/>
      <c r="C21" s="25"/>
      <c r="D21" s="17"/>
      <c r="E21" s="26"/>
      <c r="F21" s="25"/>
      <c r="G21" s="27"/>
      <c r="H21" s="3"/>
      <c r="I21" s="3"/>
      <c r="J21" s="3"/>
    </row>
    <row r="22" spans="1:10" ht="30" customHeight="1" x14ac:dyDescent="0.3">
      <c r="A22" s="24">
        <v>7</v>
      </c>
      <c r="B22" s="17"/>
      <c r="C22" s="25"/>
      <c r="D22" s="17"/>
      <c r="E22" s="26"/>
      <c r="F22" s="25"/>
      <c r="G22" s="27"/>
      <c r="H22" s="3"/>
      <c r="I22" s="3"/>
      <c r="J22" s="3"/>
    </row>
    <row r="23" spans="1:10" ht="30" customHeight="1" x14ac:dyDescent="0.3">
      <c r="A23" s="24">
        <v>8</v>
      </c>
      <c r="B23" s="17"/>
      <c r="C23" s="25"/>
      <c r="D23" s="17"/>
      <c r="E23" s="26"/>
      <c r="F23" s="25"/>
      <c r="G23" s="27"/>
      <c r="H23" s="3"/>
      <c r="I23" s="3"/>
      <c r="J23" s="3"/>
    </row>
    <row r="24" spans="1:10" ht="30" customHeight="1" x14ac:dyDescent="0.3">
      <c r="A24" s="24">
        <v>9</v>
      </c>
      <c r="B24" s="17"/>
      <c r="C24" s="25"/>
      <c r="D24" s="17"/>
      <c r="E24" s="26"/>
      <c r="F24" s="25"/>
      <c r="G24" s="27"/>
      <c r="H24" s="3"/>
      <c r="I24" s="3"/>
      <c r="J24" s="3"/>
    </row>
    <row r="25" spans="1:10" ht="30" customHeight="1" x14ac:dyDescent="0.3">
      <c r="A25" s="24">
        <v>10</v>
      </c>
      <c r="B25" s="17"/>
      <c r="C25" s="25"/>
      <c r="D25" s="17"/>
      <c r="E25" s="26"/>
      <c r="F25" s="25"/>
      <c r="G25" s="27"/>
      <c r="H25" s="3"/>
      <c r="I25" s="3"/>
      <c r="J25" s="3"/>
    </row>
    <row r="26" spans="1:10" ht="30" customHeight="1" x14ac:dyDescent="0.3">
      <c r="A26" s="24">
        <v>11</v>
      </c>
      <c r="B26" s="17"/>
      <c r="C26" s="25"/>
      <c r="D26" s="17"/>
      <c r="E26" s="26"/>
      <c r="F26" s="25"/>
      <c r="G26" s="27"/>
      <c r="H26" s="3"/>
      <c r="I26" s="3"/>
      <c r="J26" s="3"/>
    </row>
    <row r="27" spans="1:10" ht="30" customHeight="1" x14ac:dyDescent="0.3">
      <c r="A27" s="24">
        <v>12</v>
      </c>
      <c r="B27" s="17"/>
      <c r="C27" s="25"/>
      <c r="D27" s="17"/>
      <c r="E27" s="26"/>
      <c r="F27" s="25"/>
      <c r="G27" s="27"/>
      <c r="H27" s="3"/>
      <c r="I27" s="3"/>
      <c r="J27" s="3"/>
    </row>
    <row r="28" spans="1:10" ht="30" customHeight="1" x14ac:dyDescent="0.3">
      <c r="A28" s="24">
        <v>13</v>
      </c>
      <c r="B28" s="17"/>
      <c r="C28" s="25"/>
      <c r="D28" s="17"/>
      <c r="E28" s="26"/>
      <c r="F28" s="25"/>
      <c r="G28" s="27"/>
      <c r="H28" s="3"/>
      <c r="I28" s="3"/>
      <c r="J28" s="3"/>
    </row>
    <row r="29" spans="1:10" ht="30" customHeight="1" x14ac:dyDescent="0.3">
      <c r="A29" s="24">
        <v>14</v>
      </c>
      <c r="B29" s="17"/>
      <c r="C29" s="25"/>
      <c r="D29" s="17"/>
      <c r="E29" s="26"/>
      <c r="F29" s="25"/>
      <c r="G29" s="27"/>
      <c r="H29" s="3"/>
      <c r="I29" s="3"/>
      <c r="J29" s="3"/>
    </row>
    <row r="30" spans="1:10" ht="30" customHeight="1" x14ac:dyDescent="0.3">
      <c r="A30" s="24">
        <v>15</v>
      </c>
      <c r="B30" s="17"/>
      <c r="C30" s="25"/>
      <c r="D30" s="17"/>
      <c r="E30" s="26"/>
      <c r="F30" s="25"/>
      <c r="G30" s="27"/>
      <c r="H30" s="3"/>
      <c r="I30" s="3"/>
      <c r="J30" s="3"/>
    </row>
    <row r="31" spans="1:10" ht="15" customHeight="1" x14ac:dyDescent="0.3">
      <c r="B31" s="10" t="s">
        <v>125</v>
      </c>
      <c r="C31" s="10"/>
      <c r="D31" s="10"/>
      <c r="E31" s="10"/>
      <c r="F31" s="10"/>
      <c r="G31" s="10"/>
      <c r="H31" s="10"/>
      <c r="I31" s="10"/>
      <c r="J31" s="10"/>
    </row>
    <row r="33" spans="1:10" ht="19.5" customHeight="1" x14ac:dyDescent="0.3">
      <c r="A33" s="12" t="s">
        <v>126</v>
      </c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33.75" customHeight="1" x14ac:dyDescent="0.3">
      <c r="A34" s="15" t="s">
        <v>115</v>
      </c>
      <c r="B34" s="15" t="s">
        <v>74</v>
      </c>
      <c r="C34" s="15" t="s">
        <v>127</v>
      </c>
      <c r="D34" s="15" t="s">
        <v>128</v>
      </c>
      <c r="E34" s="5" t="s">
        <v>129</v>
      </c>
      <c r="F34" s="5"/>
      <c r="G34" s="5" t="s">
        <v>130</v>
      </c>
      <c r="H34" s="5"/>
      <c r="I34" s="5" t="s">
        <v>131</v>
      </c>
      <c r="J34" s="5"/>
    </row>
    <row r="35" spans="1:10" ht="27.75" customHeight="1" x14ac:dyDescent="0.3">
      <c r="A35" s="24">
        <v>1</v>
      </c>
      <c r="B35" s="17" t="s">
        <v>377</v>
      </c>
      <c r="C35" s="17" t="s">
        <v>375</v>
      </c>
      <c r="D35" s="17" t="s">
        <v>378</v>
      </c>
      <c r="E35" s="3" t="s">
        <v>379</v>
      </c>
      <c r="F35" s="3"/>
      <c r="G35" s="3" t="s">
        <v>135</v>
      </c>
      <c r="H35" s="3"/>
      <c r="I35" s="3"/>
      <c r="J35" s="3"/>
    </row>
    <row r="36" spans="1:10" ht="27.75" customHeight="1" x14ac:dyDescent="0.3">
      <c r="A36" s="24">
        <v>2</v>
      </c>
      <c r="B36" s="17"/>
      <c r="C36" s="17"/>
      <c r="D36" s="17"/>
      <c r="E36" s="3"/>
      <c r="F36" s="3"/>
      <c r="G36" s="3"/>
      <c r="H36" s="3"/>
      <c r="I36" s="3"/>
      <c r="J36" s="3"/>
    </row>
    <row r="37" spans="1:10" ht="27.75" customHeight="1" x14ac:dyDescent="0.3">
      <c r="A37" s="24">
        <v>3</v>
      </c>
      <c r="B37" s="17"/>
      <c r="C37" s="17"/>
      <c r="D37" s="17"/>
      <c r="E37" s="3"/>
      <c r="F37" s="3"/>
      <c r="G37" s="3"/>
      <c r="H37" s="3"/>
      <c r="I37" s="3"/>
      <c r="J37" s="3"/>
    </row>
    <row r="38" spans="1:10" ht="27.75" customHeight="1" x14ac:dyDescent="0.3">
      <c r="A38" s="24">
        <v>4</v>
      </c>
      <c r="B38" s="17"/>
      <c r="C38" s="17"/>
      <c r="D38" s="17"/>
      <c r="E38" s="3"/>
      <c r="F38" s="3"/>
      <c r="G38" s="3"/>
      <c r="H38" s="3"/>
      <c r="I38" s="3"/>
      <c r="J38" s="3"/>
    </row>
    <row r="39" spans="1:10" ht="27.75" customHeight="1" x14ac:dyDescent="0.3">
      <c r="A39" s="24">
        <v>5</v>
      </c>
      <c r="B39" s="17"/>
      <c r="C39" s="17"/>
      <c r="D39" s="17"/>
      <c r="E39" s="3"/>
      <c r="F39" s="3"/>
      <c r="G39" s="3"/>
      <c r="H39" s="3"/>
      <c r="I39" s="3"/>
      <c r="J39" s="3"/>
    </row>
    <row r="40" spans="1:10" ht="27.75" customHeight="1" x14ac:dyDescent="0.3">
      <c r="A40" s="24">
        <v>6</v>
      </c>
      <c r="B40" s="17"/>
      <c r="C40" s="17"/>
      <c r="D40" s="17"/>
      <c r="E40" s="3"/>
      <c r="F40" s="3"/>
      <c r="G40" s="3"/>
      <c r="H40" s="3"/>
      <c r="I40" s="3"/>
      <c r="J40" s="3"/>
    </row>
    <row r="41" spans="1:10" ht="15" customHeight="1" x14ac:dyDescent="0.3">
      <c r="B41" s="10" t="s">
        <v>136</v>
      </c>
      <c r="C41" s="10"/>
      <c r="D41" s="10"/>
      <c r="E41" s="10"/>
      <c r="F41" s="10"/>
      <c r="G41" s="10"/>
      <c r="H41" s="10"/>
      <c r="I41" s="10"/>
      <c r="J41" s="10"/>
    </row>
    <row r="43" spans="1:10" ht="19.5" customHeight="1" x14ac:dyDescent="0.3">
      <c r="A43" s="12" t="s">
        <v>137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33.75" customHeight="1" x14ac:dyDescent="0.3">
      <c r="A44" s="15" t="s">
        <v>115</v>
      </c>
      <c r="B44" s="15" t="s">
        <v>138</v>
      </c>
      <c r="C44" s="15" t="s">
        <v>117</v>
      </c>
      <c r="D44" s="15" t="s">
        <v>139</v>
      </c>
      <c r="E44" s="15" t="s">
        <v>140</v>
      </c>
      <c r="F44" s="5" t="s">
        <v>141</v>
      </c>
      <c r="G44" s="5"/>
      <c r="H44" s="5" t="s">
        <v>142</v>
      </c>
      <c r="I44" s="5"/>
      <c r="J44" s="5"/>
    </row>
    <row r="45" spans="1:10" ht="30" customHeight="1" x14ac:dyDescent="0.3">
      <c r="A45" s="24">
        <v>1</v>
      </c>
      <c r="B45" s="17" t="s">
        <v>380</v>
      </c>
      <c r="C45" s="17" t="s">
        <v>144</v>
      </c>
      <c r="D45" s="25" t="s">
        <v>356</v>
      </c>
      <c r="E45" s="26">
        <v>46308</v>
      </c>
      <c r="F45" s="3" t="s">
        <v>381</v>
      </c>
      <c r="G45" s="3"/>
      <c r="H45" s="3" t="s">
        <v>382</v>
      </c>
      <c r="I45" s="3"/>
      <c r="J45" s="3"/>
    </row>
    <row r="46" spans="1:10" ht="30" customHeight="1" x14ac:dyDescent="0.3">
      <c r="A46" s="24">
        <v>2</v>
      </c>
      <c r="B46" s="17"/>
      <c r="C46" s="17"/>
      <c r="D46" s="25"/>
      <c r="E46" s="26"/>
      <c r="F46" s="3"/>
      <c r="G46" s="3"/>
      <c r="H46" s="3"/>
      <c r="I46" s="3"/>
      <c r="J46" s="3"/>
    </row>
    <row r="47" spans="1:10" ht="30" customHeight="1" x14ac:dyDescent="0.3">
      <c r="A47" s="24">
        <v>3</v>
      </c>
      <c r="B47" s="17"/>
      <c r="C47" s="17"/>
      <c r="D47" s="25"/>
      <c r="E47" s="26"/>
      <c r="F47" s="3"/>
      <c r="G47" s="3"/>
      <c r="H47" s="3"/>
      <c r="I47" s="3"/>
      <c r="J47" s="3"/>
    </row>
    <row r="48" spans="1:10" ht="30" customHeight="1" x14ac:dyDescent="0.3">
      <c r="A48" s="24">
        <v>4</v>
      </c>
      <c r="B48" s="17"/>
      <c r="C48" s="17"/>
      <c r="D48" s="25"/>
      <c r="E48" s="26"/>
      <c r="F48" s="3"/>
      <c r="G48" s="3"/>
      <c r="H48" s="3"/>
      <c r="I48" s="3"/>
      <c r="J48" s="3"/>
    </row>
    <row r="49" spans="1:10" ht="30" customHeight="1" x14ac:dyDescent="0.3">
      <c r="A49" s="24">
        <v>5</v>
      </c>
      <c r="B49" s="17"/>
      <c r="C49" s="17"/>
      <c r="D49" s="25"/>
      <c r="E49" s="26"/>
      <c r="F49" s="3"/>
      <c r="G49" s="3"/>
      <c r="H49" s="3"/>
      <c r="I49" s="3"/>
      <c r="J49" s="3"/>
    </row>
    <row r="50" spans="1:10" ht="30" customHeight="1" x14ac:dyDescent="0.3">
      <c r="A50" s="24">
        <v>6</v>
      </c>
      <c r="B50" s="17"/>
      <c r="C50" s="17"/>
      <c r="D50" s="25"/>
      <c r="E50" s="26"/>
      <c r="F50" s="3"/>
      <c r="G50" s="3"/>
      <c r="H50" s="3"/>
      <c r="I50" s="3"/>
      <c r="J50" s="3"/>
    </row>
    <row r="51" spans="1:10" ht="15" customHeight="1" x14ac:dyDescent="0.3">
      <c r="B51" s="10" t="s">
        <v>148</v>
      </c>
      <c r="C51" s="10"/>
      <c r="D51" s="10"/>
      <c r="E51" s="10"/>
      <c r="F51" s="10"/>
      <c r="G51" s="10"/>
      <c r="H51" s="10"/>
      <c r="I51" s="10"/>
      <c r="J51" s="10"/>
    </row>
    <row r="53" spans="1:10" ht="19.5" customHeight="1" x14ac:dyDescent="0.3">
      <c r="A53" s="12" t="s">
        <v>149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33.75" customHeight="1" x14ac:dyDescent="0.3">
      <c r="A54" s="15" t="s">
        <v>115</v>
      </c>
      <c r="B54" s="15" t="s">
        <v>74</v>
      </c>
      <c r="C54" s="15" t="s">
        <v>117</v>
      </c>
      <c r="D54" s="15" t="s">
        <v>118</v>
      </c>
      <c r="E54" s="15" t="s">
        <v>139</v>
      </c>
      <c r="F54" s="5" t="s">
        <v>150</v>
      </c>
      <c r="G54" s="5"/>
      <c r="H54" s="5"/>
      <c r="I54" s="5"/>
      <c r="J54" s="5"/>
    </row>
    <row r="55" spans="1:10" ht="30" customHeight="1" x14ac:dyDescent="0.3">
      <c r="A55" s="24">
        <v>1</v>
      </c>
      <c r="B55" s="17" t="s">
        <v>383</v>
      </c>
      <c r="C55" s="17" t="s">
        <v>144</v>
      </c>
      <c r="D55" s="26">
        <v>46309</v>
      </c>
      <c r="E55" s="25" t="s">
        <v>145</v>
      </c>
      <c r="F55" s="3" t="s">
        <v>384</v>
      </c>
      <c r="G55" s="3"/>
      <c r="H55" s="3"/>
      <c r="I55" s="3"/>
      <c r="J55" s="3"/>
    </row>
    <row r="56" spans="1:10" ht="30" customHeight="1" x14ac:dyDescent="0.3">
      <c r="A56" s="24">
        <v>2</v>
      </c>
      <c r="B56" s="17"/>
      <c r="C56" s="17"/>
      <c r="D56" s="26"/>
      <c r="E56" s="25"/>
      <c r="F56" s="3"/>
      <c r="G56" s="3"/>
      <c r="H56" s="3"/>
      <c r="I56" s="3"/>
      <c r="J56" s="3"/>
    </row>
    <row r="57" spans="1:10" ht="30" customHeight="1" x14ac:dyDescent="0.3">
      <c r="A57" s="24">
        <v>3</v>
      </c>
      <c r="B57" s="17"/>
      <c r="C57" s="17"/>
      <c r="D57" s="26"/>
      <c r="E57" s="25"/>
      <c r="F57" s="3"/>
      <c r="G57" s="3"/>
      <c r="H57" s="3"/>
      <c r="I57" s="3"/>
      <c r="J57" s="3"/>
    </row>
    <row r="58" spans="1:10" ht="30" customHeight="1" x14ac:dyDescent="0.3">
      <c r="A58" s="24">
        <v>4</v>
      </c>
      <c r="B58" s="17"/>
      <c r="C58" s="17"/>
      <c r="D58" s="26"/>
      <c r="E58" s="25"/>
      <c r="F58" s="3"/>
      <c r="G58" s="3"/>
      <c r="H58" s="3"/>
      <c r="I58" s="3"/>
      <c r="J58" s="3"/>
    </row>
    <row r="59" spans="1:10" ht="30" customHeight="1" x14ac:dyDescent="0.3">
      <c r="A59" s="24">
        <v>5</v>
      </c>
      <c r="B59" s="17"/>
      <c r="C59" s="17"/>
      <c r="D59" s="26"/>
      <c r="E59" s="25"/>
      <c r="F59" s="3"/>
      <c r="G59" s="3"/>
      <c r="H59" s="3"/>
      <c r="I59" s="3"/>
      <c r="J59" s="3"/>
    </row>
    <row r="60" spans="1:10" ht="30" customHeight="1" x14ac:dyDescent="0.3">
      <c r="A60" s="24">
        <v>6</v>
      </c>
      <c r="B60" s="17"/>
      <c r="C60" s="17"/>
      <c r="D60" s="26"/>
      <c r="E60" s="25"/>
      <c r="F60" s="3"/>
      <c r="G60" s="3"/>
      <c r="H60" s="3"/>
      <c r="I60" s="3"/>
      <c r="J60" s="3"/>
    </row>
    <row r="62" spans="1:10" ht="19.5" customHeight="1" x14ac:dyDescent="0.3">
      <c r="A62" s="12" t="s">
        <v>153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33.75" customHeight="1" x14ac:dyDescent="0.3">
      <c r="A63" s="15" t="s">
        <v>115</v>
      </c>
      <c r="B63" s="15" t="s">
        <v>154</v>
      </c>
      <c r="C63" s="5" t="s">
        <v>155</v>
      </c>
      <c r="D63" s="5"/>
      <c r="E63" s="5" t="s">
        <v>82</v>
      </c>
      <c r="F63" s="5"/>
      <c r="G63" s="5"/>
      <c r="H63" s="5" t="s">
        <v>156</v>
      </c>
      <c r="I63" s="5"/>
      <c r="J63" s="15" t="s">
        <v>157</v>
      </c>
    </row>
    <row r="64" spans="1:10" ht="30" customHeight="1" x14ac:dyDescent="0.3">
      <c r="A64" s="24">
        <v>1</v>
      </c>
      <c r="B64" s="17" t="s">
        <v>385</v>
      </c>
      <c r="C64" s="3" t="s">
        <v>386</v>
      </c>
      <c r="D64" s="3"/>
      <c r="E64" s="3" t="s">
        <v>387</v>
      </c>
      <c r="F64" s="3"/>
      <c r="G64" s="3"/>
      <c r="H64" s="3" t="s">
        <v>378</v>
      </c>
      <c r="I64" s="3"/>
      <c r="J64" s="26">
        <v>46309</v>
      </c>
    </row>
    <row r="65" spans="1:10" ht="30" customHeight="1" x14ac:dyDescent="0.3">
      <c r="A65" s="24">
        <v>2</v>
      </c>
      <c r="B65" s="17"/>
      <c r="C65" s="3"/>
      <c r="D65" s="3"/>
      <c r="E65" s="3"/>
      <c r="F65" s="3"/>
      <c r="G65" s="3"/>
      <c r="H65" s="3"/>
      <c r="I65" s="3"/>
      <c r="J65" s="26"/>
    </row>
    <row r="66" spans="1:10" ht="30" customHeight="1" x14ac:dyDescent="0.3">
      <c r="A66" s="24">
        <v>3</v>
      </c>
      <c r="B66" s="17"/>
      <c r="C66" s="3"/>
      <c r="D66" s="3"/>
      <c r="E66" s="3"/>
      <c r="F66" s="3"/>
      <c r="G66" s="3"/>
      <c r="H66" s="3"/>
      <c r="I66" s="3"/>
      <c r="J66" s="26"/>
    </row>
    <row r="67" spans="1:10" ht="30" customHeight="1" x14ac:dyDescent="0.3">
      <c r="A67" s="24">
        <v>4</v>
      </c>
      <c r="B67" s="17"/>
      <c r="C67" s="3"/>
      <c r="D67" s="3"/>
      <c r="E67" s="3"/>
      <c r="F67" s="3"/>
      <c r="G67" s="3"/>
      <c r="H67" s="3"/>
      <c r="I67" s="3"/>
      <c r="J67" s="26"/>
    </row>
    <row r="68" spans="1:10" ht="30" customHeight="1" x14ac:dyDescent="0.3">
      <c r="A68" s="24">
        <v>5</v>
      </c>
      <c r="B68" s="17"/>
      <c r="C68" s="3"/>
      <c r="D68" s="3"/>
      <c r="E68" s="3"/>
      <c r="F68" s="3"/>
      <c r="G68" s="3"/>
      <c r="H68" s="3"/>
      <c r="I68" s="3"/>
      <c r="J68" s="26"/>
    </row>
    <row r="70" spans="1:10" ht="19.5" customHeight="1" x14ac:dyDescent="0.3">
      <c r="A70" s="12" t="s">
        <v>162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33.75" customHeight="1" x14ac:dyDescent="0.3">
      <c r="A71" s="15" t="s">
        <v>115</v>
      </c>
      <c r="B71" s="15" t="s">
        <v>78</v>
      </c>
      <c r="C71" s="15" t="s">
        <v>163</v>
      </c>
      <c r="D71" s="15" t="s">
        <v>164</v>
      </c>
      <c r="E71" s="15" t="s">
        <v>165</v>
      </c>
      <c r="F71" s="15" t="s">
        <v>166</v>
      </c>
      <c r="G71" s="15" t="s">
        <v>119</v>
      </c>
      <c r="H71" s="15" t="s">
        <v>167</v>
      </c>
      <c r="I71" s="5" t="s">
        <v>131</v>
      </c>
      <c r="J71" s="5"/>
    </row>
    <row r="72" spans="1:10" ht="30" customHeight="1" x14ac:dyDescent="0.3">
      <c r="A72" s="24">
        <v>1</v>
      </c>
      <c r="B72" s="17" t="s">
        <v>388</v>
      </c>
      <c r="C72" s="17" t="s">
        <v>389</v>
      </c>
      <c r="D72" s="25" t="s">
        <v>170</v>
      </c>
      <c r="E72" s="25">
        <v>60</v>
      </c>
      <c r="F72" s="25">
        <v>60</v>
      </c>
      <c r="G72" s="28">
        <f t="shared" ref="G72:G79" si="0">IF(OR(E72="",F72=""),"",IF(E72=0,"",F72/E72))</f>
        <v>1</v>
      </c>
      <c r="H72" s="22" t="str">
        <f>IF(G72="","",IF(D72="Thấp hơn là tốt",IF(G72&lt;=1,"Đạt",IF(G72&lt;='Danh mục'!$B$18,"Cần chú ý","Không đạt")),IF(G72&gt;=1,"Đạt",IF(G72&gt;='Danh mục'!$B$17,"Cần chú ý","Không đạt"))))</f>
        <v>Đạt</v>
      </c>
      <c r="I72" s="3"/>
      <c r="J72" s="3"/>
    </row>
    <row r="73" spans="1:10" ht="30" customHeight="1" x14ac:dyDescent="0.3">
      <c r="A73" s="24">
        <v>2</v>
      </c>
      <c r="B73" s="17" t="s">
        <v>390</v>
      </c>
      <c r="C73" s="17" t="s">
        <v>391</v>
      </c>
      <c r="D73" s="25" t="s">
        <v>170</v>
      </c>
      <c r="E73" s="25"/>
      <c r="F73" s="25"/>
      <c r="G73" s="28" t="str">
        <f t="shared" si="0"/>
        <v/>
      </c>
      <c r="H73" s="22" t="str">
        <f>IF(G73="","",IF(D73="Thấp hơn là tốt",IF(G73&lt;=1,"Đạt",IF(G73&lt;='Danh mục'!$B$18,"Cần chú ý","Không đạt")),IF(G73&gt;=1,"Đạt",IF(G73&gt;='Danh mục'!$B$17,"Cần chú ý","Không đạt"))))</f>
        <v/>
      </c>
      <c r="I73" s="3"/>
      <c r="J73" s="3"/>
    </row>
    <row r="74" spans="1:10" ht="30" customHeight="1" x14ac:dyDescent="0.3">
      <c r="A74" s="24">
        <v>3</v>
      </c>
      <c r="B74" s="17" t="s">
        <v>392</v>
      </c>
      <c r="C74" s="17" t="s">
        <v>393</v>
      </c>
      <c r="D74" s="25" t="s">
        <v>170</v>
      </c>
      <c r="E74" s="25"/>
      <c r="F74" s="25"/>
      <c r="G74" s="28" t="str">
        <f t="shared" si="0"/>
        <v/>
      </c>
      <c r="H74" s="22" t="str">
        <f>IF(G74="","",IF(D74="Thấp hơn là tốt",IF(G74&lt;=1,"Đạt",IF(G74&lt;='Danh mục'!$B$18,"Cần chú ý","Không đạt")),IF(G74&gt;=1,"Đạt",IF(G74&gt;='Danh mục'!$B$17,"Cần chú ý","Không đạt"))))</f>
        <v/>
      </c>
      <c r="I74" s="3"/>
      <c r="J74" s="3"/>
    </row>
    <row r="75" spans="1:10" ht="30" customHeight="1" x14ac:dyDescent="0.3">
      <c r="A75" s="24">
        <v>4</v>
      </c>
      <c r="B75" s="17" t="s">
        <v>394</v>
      </c>
      <c r="C75" s="17" t="s">
        <v>179</v>
      </c>
      <c r="D75" s="25" t="s">
        <v>170</v>
      </c>
      <c r="E75" s="25"/>
      <c r="F75" s="25"/>
      <c r="G75" s="28" t="str">
        <f t="shared" si="0"/>
        <v/>
      </c>
      <c r="H75" s="22" t="str">
        <f>IF(G75="","",IF(D75="Thấp hơn là tốt",IF(G75&lt;=1,"Đạt",IF(G75&lt;='Danh mục'!$B$18,"Cần chú ý","Không đạt")),IF(G75&gt;=1,"Đạt",IF(G75&gt;='Danh mục'!$B$17,"Cần chú ý","Không đạt"))))</f>
        <v/>
      </c>
      <c r="I75" s="3"/>
      <c r="J75" s="3"/>
    </row>
    <row r="76" spans="1:10" ht="30" customHeight="1" x14ac:dyDescent="0.3">
      <c r="A76" s="24">
        <v>5</v>
      </c>
      <c r="B76" s="17" t="s">
        <v>395</v>
      </c>
      <c r="C76" s="17" t="s">
        <v>396</v>
      </c>
      <c r="D76" s="25" t="s">
        <v>170</v>
      </c>
      <c r="E76" s="25"/>
      <c r="F76" s="25"/>
      <c r="G76" s="28" t="str">
        <f t="shared" si="0"/>
        <v/>
      </c>
      <c r="H76" s="22" t="str">
        <f>IF(G76="","",IF(D76="Thấp hơn là tốt",IF(G76&lt;=1,"Đạt",IF(G76&lt;='Danh mục'!$B$18,"Cần chú ý","Không đạt")),IF(G76&gt;=1,"Đạt",IF(G76&gt;='Danh mục'!$B$17,"Cần chú ý","Không đạt"))))</f>
        <v/>
      </c>
      <c r="I76" s="3"/>
      <c r="J76" s="3"/>
    </row>
    <row r="77" spans="1:10" ht="30" customHeight="1" x14ac:dyDescent="0.3">
      <c r="A77" s="24">
        <v>6</v>
      </c>
      <c r="B77" s="17" t="s">
        <v>397</v>
      </c>
      <c r="C77" s="17" t="s">
        <v>179</v>
      </c>
      <c r="D77" s="25" t="s">
        <v>170</v>
      </c>
      <c r="E77" s="25"/>
      <c r="F77" s="25"/>
      <c r="G77" s="28" t="str">
        <f t="shared" si="0"/>
        <v/>
      </c>
      <c r="H77" s="22" t="str">
        <f>IF(G77="","",IF(D77="Thấp hơn là tốt",IF(G77&lt;=1,"Đạt",IF(G77&lt;='Danh mục'!$B$18,"Cần chú ý","Không đạt")),IF(G77&gt;=1,"Đạt",IF(G77&gt;='Danh mục'!$B$17,"Cần chú ý","Không đạt"))))</f>
        <v/>
      </c>
      <c r="I77" s="3"/>
      <c r="J77" s="3"/>
    </row>
    <row r="78" spans="1:10" ht="30" customHeight="1" x14ac:dyDescent="0.3">
      <c r="A78" s="24">
        <v>7</v>
      </c>
      <c r="B78" s="17"/>
      <c r="C78" s="17"/>
      <c r="D78" s="25"/>
      <c r="E78" s="25"/>
      <c r="F78" s="25"/>
      <c r="G78" s="28" t="str">
        <f t="shared" si="0"/>
        <v/>
      </c>
      <c r="H78" s="22" t="str">
        <f>IF(G78="","",IF(D78="Thấp hơn là tốt",IF(G78&lt;=1,"Đạt",IF(G78&lt;='Danh mục'!$B$18,"Cần chú ý","Không đạt")),IF(G78&gt;=1,"Đạt",IF(G78&gt;='Danh mục'!$B$17,"Cần chú ý","Không đạt"))))</f>
        <v/>
      </c>
      <c r="I78" s="3"/>
      <c r="J78" s="3"/>
    </row>
    <row r="79" spans="1:10" ht="30" customHeight="1" x14ac:dyDescent="0.3">
      <c r="A79" s="24">
        <v>8</v>
      </c>
      <c r="B79" s="17"/>
      <c r="C79" s="17"/>
      <c r="D79" s="25"/>
      <c r="E79" s="25"/>
      <c r="F79" s="25"/>
      <c r="G79" s="28" t="str">
        <f t="shared" si="0"/>
        <v/>
      </c>
      <c r="H79" s="22" t="str">
        <f>IF(G79="","",IF(D79="Thấp hơn là tốt",IF(G79&lt;=1,"Đạt",IF(G79&lt;='Danh mục'!$B$18,"Cần chú ý","Không đạt")),IF(G79&gt;=1,"Đạt",IF(G79&gt;='Danh mục'!$B$17,"Cần chú ý","Không đạt"))))</f>
        <v/>
      </c>
      <c r="I79" s="3"/>
      <c r="J79" s="3"/>
    </row>
    <row r="80" spans="1:10" ht="15" customHeight="1" x14ac:dyDescent="0.3">
      <c r="B80" s="10" t="s">
        <v>182</v>
      </c>
      <c r="C80" s="10"/>
      <c r="D80" s="10"/>
      <c r="E80" s="10"/>
      <c r="F80" s="10"/>
      <c r="G80" s="10"/>
      <c r="H80" s="10"/>
      <c r="I80" s="10"/>
      <c r="J80" s="10"/>
    </row>
  </sheetData>
  <mergeCells count="113">
    <mergeCell ref="I79:J79"/>
    <mergeCell ref="B80:J80"/>
    <mergeCell ref="A70:J70"/>
    <mergeCell ref="I71:J71"/>
    <mergeCell ref="I72:J72"/>
    <mergeCell ref="I73:J73"/>
    <mergeCell ref="I74:J74"/>
    <mergeCell ref="I75:J75"/>
    <mergeCell ref="I76:J76"/>
    <mergeCell ref="I77:J77"/>
    <mergeCell ref="I78:J78"/>
    <mergeCell ref="C66:D66"/>
    <mergeCell ref="E66:G66"/>
    <mergeCell ref="H66:I66"/>
    <mergeCell ref="C67:D67"/>
    <mergeCell ref="E67:G67"/>
    <mergeCell ref="H67:I67"/>
    <mergeCell ref="C68:D68"/>
    <mergeCell ref="E68:G68"/>
    <mergeCell ref="H68:I68"/>
    <mergeCell ref="A62:J62"/>
    <mergeCell ref="C63:D63"/>
    <mergeCell ref="E63:G63"/>
    <mergeCell ref="H63:I63"/>
    <mergeCell ref="C64:D64"/>
    <mergeCell ref="E64:G64"/>
    <mergeCell ref="H64:I64"/>
    <mergeCell ref="C65:D65"/>
    <mergeCell ref="E65:G65"/>
    <mergeCell ref="H65:I65"/>
    <mergeCell ref="B51:J51"/>
    <mergeCell ref="A53:J53"/>
    <mergeCell ref="F54:J54"/>
    <mergeCell ref="F55:J55"/>
    <mergeCell ref="F56:J56"/>
    <mergeCell ref="F57:J57"/>
    <mergeCell ref="F58:J58"/>
    <mergeCell ref="F59:J59"/>
    <mergeCell ref="F60:J60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E40:F40"/>
    <mergeCell ref="G40:H40"/>
    <mergeCell ref="I40:J40"/>
    <mergeCell ref="B41:J41"/>
    <mergeCell ref="A43:J43"/>
    <mergeCell ref="F44:G44"/>
    <mergeCell ref="H44:J44"/>
    <mergeCell ref="F45:G45"/>
    <mergeCell ref="H45:J45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A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H23:J23"/>
    <mergeCell ref="H24:J24"/>
    <mergeCell ref="H25:J25"/>
    <mergeCell ref="H26:J26"/>
    <mergeCell ref="H27:J27"/>
    <mergeCell ref="H28:J28"/>
    <mergeCell ref="H29:J29"/>
    <mergeCell ref="H30:J30"/>
    <mergeCell ref="B31:J31"/>
    <mergeCell ref="A14:J14"/>
    <mergeCell ref="H15:J15"/>
    <mergeCell ref="H16:J16"/>
    <mergeCell ref="H17:J17"/>
    <mergeCell ref="H18:J18"/>
    <mergeCell ref="H19:J19"/>
    <mergeCell ref="H20:J20"/>
    <mergeCell ref="H21:J21"/>
    <mergeCell ref="H22:J22"/>
    <mergeCell ref="C7:D7"/>
    <mergeCell ref="E7:F7"/>
    <mergeCell ref="G7:H7"/>
    <mergeCell ref="C8:D8"/>
    <mergeCell ref="E8:F8"/>
    <mergeCell ref="G8:H8"/>
    <mergeCell ref="A10:J10"/>
    <mergeCell ref="I11:J11"/>
    <mergeCell ref="I12:J12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D45:D50">
    <cfRule type="cellIs" dxfId="16" priority="8" operator="equal">
      <formula>"Cao"</formula>
    </cfRule>
  </conditionalFormatting>
  <conditionalFormatting sqref="E16:E30">
    <cfRule type="expression" dxfId="15" priority="2">
      <formula>AND(E16&lt;&gt;"",E16&lt;TODAY(),$F16&lt;&gt;"Done")</formula>
    </cfRule>
  </conditionalFormatting>
  <conditionalFormatting sqref="E55:E60">
    <cfRule type="cellIs" dxfId="14" priority="9" operator="equal">
      <formula>"Cao"</formula>
    </cfRule>
  </conditionalFormatting>
  <conditionalFormatting sqref="F16:F30">
    <cfRule type="cellIs" dxfId="13" priority="3" operator="equal">
      <formula>"Done"</formula>
    </cfRule>
    <cfRule type="cellIs" dxfId="12" priority="4" operator="equal">
      <formula>"In Progress"</formula>
    </cfRule>
    <cfRule type="cellIs" dxfId="11" priority="5" operator="equal">
      <formula>"Blocked"</formula>
    </cfRule>
    <cfRule type="cellIs" dxfId="10" priority="6" operator="equal">
      <formula>"Pending"</formula>
    </cfRule>
    <cfRule type="cellIs" dxfId="9" priority="7" operator="equal">
      <formula>"Overdue"</formula>
    </cfRule>
  </conditionalFormatting>
  <conditionalFormatting sqref="H72:H79">
    <cfRule type="cellIs" dxfId="8" priority="10" operator="equal">
      <formula>"Đạt"</formula>
    </cfRule>
    <cfRule type="cellIs" dxfId="7" priority="11" operator="equal">
      <formula>"Cần chú ý"</formula>
    </cfRule>
    <cfRule type="cellIs" dxfId="6" priority="12" operator="equal">
      <formula>"Không đạt"</formula>
    </cfRule>
  </conditionalFormatting>
  <dataValidations count="2">
    <dataValidation type="decimal" allowBlank="1" showErrorMessage="1" errorTitle="Giá trị không hợp lệ" error="Nhập từ 0% đến 100%" sqref="G16:G30" xr:uid="{00000000-0002-0000-0700-000000000000}">
      <formula1>0</formula1>
      <formula2>1</formula2>
    </dataValidation>
    <dataValidation type="list" allowBlank="1" sqref="D72:D79" xr:uid="{00000000-0002-0000-0700-000005000000}">
      <formula1>"Cao hơn là tốt,Thấp hơn là tốt"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700-000001000000}">
          <x14:formula1>
            <xm:f>'Danh mục'!$N$5:$N$10</xm:f>
          </x14:formula1>
          <x14:formula2>
            <xm:f>0</xm:f>
          </x14:formula2>
          <xm:sqref>C16:C30</xm:sqref>
        </x14:dataValidation>
        <x14:dataValidation type="list" allowBlank="1" xr:uid="{00000000-0002-0000-0700-000002000000}">
          <x14:formula1>
            <xm:f>'Danh mục'!$A$5:$A$9</xm:f>
          </x14:formula1>
          <x14:formula2>
            <xm:f>0</xm:f>
          </x14:formula2>
          <xm:sqref>F16:F30</xm:sqref>
        </x14:dataValidation>
        <x14:dataValidation type="list" allowBlank="1" xr:uid="{00000000-0002-0000-0700-000003000000}">
          <x14:formula1>
            <xm:f>'Danh mục'!$D$5:$D$7</xm:f>
          </x14:formula1>
          <x14:formula2>
            <xm:f>0</xm:f>
          </x14:formula2>
          <xm:sqref>D45:D50 E55:E60</xm:sqref>
        </x14:dataValidation>
        <x14:dataValidation type="list" allowBlank="1" showInputMessage="1" showErrorMessage="1" xr:uid="{28A16966-12E3-4DE4-8BDC-0F768BB238D2}">
          <x14:formula1>
            <xm:f>'Danh mục'!$O$5:$O$100</xm:f>
          </x14:formula1>
          <xm:sqref>D16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A1:J103"/>
  <sheetViews>
    <sheetView showGridLines="0" zoomScaleNormal="100" workbookViewId="0">
      <pane ySplit="2" topLeftCell="A27" activePane="bottomLeft" state="frozen"/>
      <selection pane="bottomLeft" sqref="A1:J1"/>
    </sheetView>
  </sheetViews>
  <sheetFormatPr defaultColWidth="8.6640625" defaultRowHeight="14.4" x14ac:dyDescent="0.3"/>
  <cols>
    <col min="1" max="1" width="5" customWidth="1"/>
    <col min="2" max="2" width="36" customWidth="1"/>
    <col min="3" max="4" width="18" customWidth="1"/>
    <col min="5" max="6" width="14" customWidth="1"/>
    <col min="7" max="7" width="12" customWidth="1"/>
    <col min="8" max="8" width="26" customWidth="1"/>
    <col min="9" max="10" width="16" customWidth="1"/>
  </cols>
  <sheetData>
    <row r="1" spans="1:10" ht="27.75" customHeight="1" x14ac:dyDescent="0.3">
      <c r="A1" s="11" t="s">
        <v>398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3">
      <c r="B5" s="20" t="s">
        <v>96</v>
      </c>
      <c r="C5" s="9" t="s">
        <v>373</v>
      </c>
      <c r="D5" s="9"/>
      <c r="E5" s="8" t="s">
        <v>184</v>
      </c>
      <c r="F5" s="8"/>
      <c r="G5" s="9" t="s">
        <v>185</v>
      </c>
      <c r="H5" s="9"/>
    </row>
    <row r="6" spans="1:10" ht="19.5" customHeight="1" x14ac:dyDescent="0.3">
      <c r="B6" s="20" t="s">
        <v>101</v>
      </c>
      <c r="C6" s="9"/>
      <c r="D6" s="9"/>
      <c r="E6" s="8" t="s">
        <v>102</v>
      </c>
      <c r="F6" s="8"/>
      <c r="G6" s="9"/>
      <c r="H6" s="9"/>
    </row>
    <row r="7" spans="1:10" ht="19.5" customHeight="1" x14ac:dyDescent="0.3">
      <c r="B7" s="20" t="s">
        <v>103</v>
      </c>
      <c r="C7" s="9" t="s">
        <v>186</v>
      </c>
      <c r="D7" s="9"/>
      <c r="E7" s="8" t="s">
        <v>104</v>
      </c>
      <c r="F7" s="8"/>
      <c r="G7" s="9"/>
      <c r="H7" s="9"/>
    </row>
    <row r="9" spans="1:10" ht="19.5" customHeight="1" x14ac:dyDescent="0.3">
      <c r="A9" s="12" t="s">
        <v>187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 ht="30" customHeight="1" x14ac:dyDescent="0.3">
      <c r="B10" s="15" t="s">
        <v>188</v>
      </c>
      <c r="C10" s="15" t="s">
        <v>189</v>
      </c>
      <c r="D10" s="15" t="s">
        <v>190</v>
      </c>
      <c r="E10" s="15" t="s">
        <v>76</v>
      </c>
      <c r="F10" s="15" t="s">
        <v>191</v>
      </c>
      <c r="G10" s="15" t="s">
        <v>192</v>
      </c>
      <c r="H10" s="15" t="s">
        <v>193</v>
      </c>
    </row>
    <row r="11" spans="1:10" ht="21.75" customHeight="1" x14ac:dyDescent="0.3">
      <c r="B11" s="21" t="str">
        <f>COUNTIF(H15:H22,"Đạt")&amp;" / "&amp;COUNTIF(H15:H22,"?*")</f>
        <v>0 / 1</v>
      </c>
      <c r="C11" s="21">
        <f>COUNTA(B37:B48)</f>
        <v>1</v>
      </c>
      <c r="D11" s="23">
        <f>IFERROR(COUNTIF(G37:G48,"Đúng hạn")/COUNTIF(G37:G48,"?*"),"")</f>
        <v>1</v>
      </c>
      <c r="E11" s="21">
        <f>COUNTA(B52:B57)</f>
        <v>1</v>
      </c>
      <c r="F11" s="21">
        <f>COUNTA(B61:B64)</f>
        <v>1</v>
      </c>
      <c r="G11" s="29" t="str">
        <f>E31</f>
        <v/>
      </c>
      <c r="H11" s="21" t="str">
        <f>E32</f>
        <v/>
      </c>
    </row>
    <row r="13" spans="1:10" ht="19.5" customHeight="1" x14ac:dyDescent="0.3">
      <c r="A13" s="12" t="s">
        <v>194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33.75" customHeight="1" x14ac:dyDescent="0.3">
      <c r="A14" s="15" t="s">
        <v>115</v>
      </c>
      <c r="B14" s="15" t="s">
        <v>78</v>
      </c>
      <c r="C14" s="15" t="s">
        <v>163</v>
      </c>
      <c r="D14" s="15" t="s">
        <v>164</v>
      </c>
      <c r="E14" s="15" t="s">
        <v>165</v>
      </c>
      <c r="F14" s="15" t="s">
        <v>166</v>
      </c>
      <c r="G14" s="15" t="s">
        <v>119</v>
      </c>
      <c r="H14" s="15" t="s">
        <v>167</v>
      </c>
      <c r="I14" s="15" t="s">
        <v>195</v>
      </c>
      <c r="J14" s="15" t="s">
        <v>196</v>
      </c>
    </row>
    <row r="15" spans="1:10" ht="30" customHeight="1" x14ac:dyDescent="0.3">
      <c r="A15" s="24">
        <v>1</v>
      </c>
      <c r="B15" s="17" t="s">
        <v>399</v>
      </c>
      <c r="C15" s="17" t="s">
        <v>179</v>
      </c>
      <c r="D15" s="25" t="s">
        <v>170</v>
      </c>
      <c r="E15" s="25">
        <v>100</v>
      </c>
      <c r="F15" s="25">
        <v>85</v>
      </c>
      <c r="G15" s="28">
        <f t="shared" ref="G15:G22" si="0">IF(OR(E15="",F15=""),"",IF(E15=0,"",F15/E15))</f>
        <v>0.85</v>
      </c>
      <c r="H15" s="22" t="str">
        <f>IF(G15="","",IF(D15="Thấp hơn là tốt",IF(G15&lt;=1,"Đạt",IF(G15&lt;='Danh mục'!$B$18,"Cần chú ý","Không đạt")),IF(G15&gt;=1,"Đạt",IF(G15&gt;='Danh mục'!$B$17,"Cần chú ý","Không đạt"))))</f>
        <v>Cần chú ý</v>
      </c>
      <c r="I15" s="25">
        <v>70</v>
      </c>
      <c r="J15" s="30">
        <f t="shared" ref="J15:J22" si="1">IF(OR(F15="",I15=""),"",F15-I15)</f>
        <v>15</v>
      </c>
    </row>
    <row r="16" spans="1:10" ht="30" customHeight="1" x14ac:dyDescent="0.3">
      <c r="A16" s="24">
        <v>2</v>
      </c>
      <c r="B16" s="17" t="s">
        <v>400</v>
      </c>
      <c r="C16" s="17" t="s">
        <v>289</v>
      </c>
      <c r="D16" s="25" t="s">
        <v>175</v>
      </c>
      <c r="E16" s="25"/>
      <c r="F16" s="25"/>
      <c r="G16" s="28" t="str">
        <f t="shared" si="0"/>
        <v/>
      </c>
      <c r="H16" s="22" t="str">
        <f>IF(G16="","",IF(D16="Thấp hơn là tốt",IF(G16&lt;=1,"Đạt",IF(G16&lt;='Danh mục'!$B$18,"Cần chú ý","Không đạt")),IF(G16&gt;=1,"Đạt",IF(G16&gt;='Danh mục'!$B$17,"Cần chú ý","Không đạt"))))</f>
        <v/>
      </c>
      <c r="I16" s="25"/>
      <c r="J16" s="30" t="str">
        <f t="shared" si="1"/>
        <v/>
      </c>
    </row>
    <row r="17" spans="1:10" ht="30" customHeight="1" x14ac:dyDescent="0.3">
      <c r="A17" s="24">
        <v>3</v>
      </c>
      <c r="B17" s="17" t="s">
        <v>401</v>
      </c>
      <c r="C17" s="17" t="s">
        <v>349</v>
      </c>
      <c r="D17" s="25" t="s">
        <v>170</v>
      </c>
      <c r="E17" s="25"/>
      <c r="F17" s="25"/>
      <c r="G17" s="28" t="str">
        <f t="shared" si="0"/>
        <v/>
      </c>
      <c r="H17" s="22" t="str">
        <f>IF(G17="","",IF(D17="Thấp hơn là tốt",IF(G17&lt;=1,"Đạt",IF(G17&lt;='Danh mục'!$B$18,"Cần chú ý","Không đạt")),IF(G17&gt;=1,"Đạt",IF(G17&gt;='Danh mục'!$B$17,"Cần chú ý","Không đạt"))))</f>
        <v/>
      </c>
      <c r="I17" s="25"/>
      <c r="J17" s="30" t="str">
        <f t="shared" si="1"/>
        <v/>
      </c>
    </row>
    <row r="18" spans="1:10" ht="30" customHeight="1" x14ac:dyDescent="0.3">
      <c r="A18" s="24">
        <v>4</v>
      </c>
      <c r="B18" s="17" t="s">
        <v>402</v>
      </c>
      <c r="C18" s="17" t="s">
        <v>179</v>
      </c>
      <c r="D18" s="25" t="s">
        <v>175</v>
      </c>
      <c r="E18" s="25"/>
      <c r="F18" s="25"/>
      <c r="G18" s="28" t="str">
        <f t="shared" si="0"/>
        <v/>
      </c>
      <c r="H18" s="22" t="str">
        <f>IF(G18="","",IF(D18="Thấp hơn là tốt",IF(G18&lt;=1,"Đạt",IF(G18&lt;='Danh mục'!$B$18,"Cần chú ý","Không đạt")),IF(G18&gt;=1,"Đạt",IF(G18&gt;='Danh mục'!$B$17,"Cần chú ý","Không đạt"))))</f>
        <v/>
      </c>
      <c r="I18" s="25"/>
      <c r="J18" s="30" t="str">
        <f t="shared" si="1"/>
        <v/>
      </c>
    </row>
    <row r="19" spans="1:10" ht="30" customHeight="1" x14ac:dyDescent="0.3">
      <c r="A19" s="24">
        <v>5</v>
      </c>
      <c r="B19" s="17" t="s">
        <v>403</v>
      </c>
      <c r="C19" s="17" t="s">
        <v>396</v>
      </c>
      <c r="D19" s="25" t="s">
        <v>170</v>
      </c>
      <c r="E19" s="25"/>
      <c r="F19" s="25"/>
      <c r="G19" s="28" t="str">
        <f t="shared" si="0"/>
        <v/>
      </c>
      <c r="H19" s="22" t="str">
        <f>IF(G19="","",IF(D19="Thấp hơn là tốt",IF(G19&lt;=1,"Đạt",IF(G19&lt;='Danh mục'!$B$18,"Cần chú ý","Không đạt")),IF(G19&gt;=1,"Đạt",IF(G19&gt;='Danh mục'!$B$17,"Cần chú ý","Không đạt"))))</f>
        <v/>
      </c>
      <c r="I19" s="25"/>
      <c r="J19" s="30" t="str">
        <f t="shared" si="1"/>
        <v/>
      </c>
    </row>
    <row r="20" spans="1:10" ht="30" customHeight="1" x14ac:dyDescent="0.3">
      <c r="A20" s="24">
        <v>6</v>
      </c>
      <c r="B20" s="17" t="s">
        <v>404</v>
      </c>
      <c r="C20" s="17" t="s">
        <v>179</v>
      </c>
      <c r="D20" s="25" t="s">
        <v>170</v>
      </c>
      <c r="E20" s="25"/>
      <c r="F20" s="25"/>
      <c r="G20" s="28" t="str">
        <f t="shared" si="0"/>
        <v/>
      </c>
      <c r="H20" s="22" t="str">
        <f>IF(G20="","",IF(D20="Thấp hơn là tốt",IF(G20&lt;=1,"Đạt",IF(G20&lt;='Danh mục'!$B$18,"Cần chú ý","Không đạt")),IF(G20&gt;=1,"Đạt",IF(G20&gt;='Danh mục'!$B$17,"Cần chú ý","Không đạt"))))</f>
        <v/>
      </c>
      <c r="I20" s="25"/>
      <c r="J20" s="30" t="str">
        <f t="shared" si="1"/>
        <v/>
      </c>
    </row>
    <row r="21" spans="1:10" ht="30" customHeight="1" x14ac:dyDescent="0.3">
      <c r="A21" s="24">
        <v>7</v>
      </c>
      <c r="B21" s="17"/>
      <c r="C21" s="17"/>
      <c r="D21" s="25"/>
      <c r="E21" s="25"/>
      <c r="F21" s="25"/>
      <c r="G21" s="28" t="str">
        <f t="shared" si="0"/>
        <v/>
      </c>
      <c r="H21" s="22" t="str">
        <f>IF(G21="","",IF(D21="Thấp hơn là tốt",IF(G21&lt;=1,"Đạt",IF(G21&lt;='Danh mục'!$B$18,"Cần chú ý","Không đạt")),IF(G21&gt;=1,"Đạt",IF(G21&gt;='Danh mục'!$B$17,"Cần chú ý","Không đạt"))))</f>
        <v/>
      </c>
      <c r="I21" s="25"/>
      <c r="J21" s="30" t="str">
        <f t="shared" si="1"/>
        <v/>
      </c>
    </row>
    <row r="22" spans="1:10" ht="30" customHeight="1" x14ac:dyDescent="0.3">
      <c r="A22" s="24">
        <v>8</v>
      </c>
      <c r="B22" s="17"/>
      <c r="C22" s="17"/>
      <c r="D22" s="25"/>
      <c r="E22" s="25"/>
      <c r="F22" s="25"/>
      <c r="G22" s="28" t="str">
        <f t="shared" si="0"/>
        <v/>
      </c>
      <c r="H22" s="22" t="str">
        <f>IF(G22="","",IF(D22="Thấp hơn là tốt",IF(G22&lt;=1,"Đạt",IF(G22&lt;='Danh mục'!$B$18,"Cần chú ý","Không đạt")),IF(G22&gt;=1,"Đạt",IF(G22&gt;='Danh mục'!$B$17,"Cần chú ý","Không đạt"))))</f>
        <v/>
      </c>
      <c r="I22" s="25"/>
      <c r="J22" s="30" t="str">
        <f t="shared" si="1"/>
        <v/>
      </c>
    </row>
    <row r="24" spans="1:10" ht="19.5" customHeight="1" x14ac:dyDescent="0.3">
      <c r="A24" s="12" t="s">
        <v>199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33.75" customHeight="1" x14ac:dyDescent="0.3">
      <c r="A25" s="15" t="s">
        <v>115</v>
      </c>
      <c r="B25" s="15" t="s">
        <v>200</v>
      </c>
      <c r="C25" s="15" t="s">
        <v>201</v>
      </c>
      <c r="D25" s="15" t="s">
        <v>202</v>
      </c>
      <c r="E25" s="15" t="s">
        <v>203</v>
      </c>
      <c r="F25" s="5" t="s">
        <v>204</v>
      </c>
      <c r="G25" s="5"/>
      <c r="H25" s="5"/>
      <c r="I25" s="5"/>
      <c r="J25" s="5"/>
    </row>
    <row r="26" spans="1:10" ht="30" customHeight="1" x14ac:dyDescent="0.3">
      <c r="A26" s="24">
        <v>1</v>
      </c>
      <c r="B26" s="17" t="s">
        <v>205</v>
      </c>
      <c r="C26" s="27">
        <v>0.5</v>
      </c>
      <c r="D26" s="25"/>
      <c r="E26" s="31" t="str">
        <f>IF(D26="","",C26*D26)</f>
        <v/>
      </c>
      <c r="F26" s="3"/>
      <c r="G26" s="3"/>
      <c r="H26" s="3"/>
      <c r="I26" s="3"/>
      <c r="J26" s="3"/>
    </row>
    <row r="27" spans="1:10" ht="30" customHeight="1" x14ac:dyDescent="0.3">
      <c r="A27" s="24">
        <v>2</v>
      </c>
      <c r="B27" s="17" t="s">
        <v>206</v>
      </c>
      <c r="C27" s="27">
        <v>0.2</v>
      </c>
      <c r="D27" s="25"/>
      <c r="E27" s="31" t="str">
        <f>IF(D27="","",C27*D27)</f>
        <v/>
      </c>
      <c r="F27" s="3"/>
      <c r="G27" s="3"/>
      <c r="H27" s="3"/>
      <c r="I27" s="3"/>
      <c r="J27" s="3"/>
    </row>
    <row r="28" spans="1:10" ht="30" customHeight="1" x14ac:dyDescent="0.3">
      <c r="A28" s="24">
        <v>3</v>
      </c>
      <c r="B28" s="17" t="s">
        <v>207</v>
      </c>
      <c r="C28" s="27">
        <v>0.15</v>
      </c>
      <c r="D28" s="25"/>
      <c r="E28" s="31" t="str">
        <f>IF(D28="","",C28*D28)</f>
        <v/>
      </c>
      <c r="F28" s="3"/>
      <c r="G28" s="3"/>
      <c r="H28" s="3"/>
      <c r="I28" s="3"/>
      <c r="J28" s="3"/>
    </row>
    <row r="29" spans="1:10" ht="30" customHeight="1" x14ac:dyDescent="0.3">
      <c r="A29" s="24">
        <v>4</v>
      </c>
      <c r="B29" s="17" t="s">
        <v>208</v>
      </c>
      <c r="C29" s="27">
        <v>0.1</v>
      </c>
      <c r="D29" s="25"/>
      <c r="E29" s="31" t="str">
        <f>IF(D29="","",C29*D29)</f>
        <v/>
      </c>
      <c r="F29" s="3"/>
      <c r="G29" s="3"/>
      <c r="H29" s="3"/>
      <c r="I29" s="3"/>
      <c r="J29" s="3"/>
    </row>
    <row r="30" spans="1:10" ht="30" customHeight="1" x14ac:dyDescent="0.3">
      <c r="A30" s="24">
        <v>5</v>
      </c>
      <c r="B30" s="17" t="s">
        <v>209</v>
      </c>
      <c r="C30" s="27">
        <v>0.05</v>
      </c>
      <c r="D30" s="25"/>
      <c r="E30" s="31" t="str">
        <f>IF(D30="","",C30*D30)</f>
        <v/>
      </c>
      <c r="F30" s="3"/>
      <c r="G30" s="3"/>
      <c r="H30" s="3"/>
      <c r="I30" s="3"/>
      <c r="J30" s="3"/>
    </row>
    <row r="31" spans="1:10" x14ac:dyDescent="0.3">
      <c r="A31" s="32"/>
      <c r="B31" s="20" t="s">
        <v>210</v>
      </c>
      <c r="C31" s="23">
        <f>SUM(C26:C30)</f>
        <v>1</v>
      </c>
      <c r="D31" s="33"/>
      <c r="E31" s="29" t="str">
        <f>IF(COUNT(D26:D30)=0,"",SUM(E26:E30))</f>
        <v/>
      </c>
      <c r="F31" s="2" t="str">
        <f>IF(ROUND(C31,4)=1,"Trọng số hợp lệ (tổng 100%)","Tổng trọng số phải bằng 100%")</f>
        <v>Trọng số hợp lệ (tổng 100%)</v>
      </c>
      <c r="G31" s="2"/>
      <c r="H31" s="2"/>
      <c r="I31" s="2"/>
      <c r="J31" s="2"/>
    </row>
    <row r="32" spans="1:10" ht="15" customHeight="1" x14ac:dyDescent="0.3">
      <c r="A32" s="32"/>
      <c r="B32" s="20" t="s">
        <v>211</v>
      </c>
      <c r="C32" s="1"/>
      <c r="D32" s="1"/>
      <c r="E32" s="34" t="str">
        <f>IF(E31="","",IF(E31&gt;='Danh mục'!$B$19,"A",IF(E31&gt;='Danh mục'!$B$20,"B",IF(E31&gt;='Danh mục'!$B$21,"C","D"))))</f>
        <v/>
      </c>
      <c r="F32" s="10" t="s">
        <v>212</v>
      </c>
      <c r="G32" s="10"/>
      <c r="H32" s="10"/>
      <c r="I32" s="10"/>
      <c r="J32" s="10"/>
    </row>
    <row r="34" spans="1:10" ht="19.5" customHeight="1" x14ac:dyDescent="0.3">
      <c r="A34" s="12" t="s">
        <v>213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5" customHeight="1" x14ac:dyDescent="0.3">
      <c r="B35" s="37" t="s">
        <v>214</v>
      </c>
      <c r="C35" s="37"/>
      <c r="D35" s="37"/>
      <c r="E35" s="37"/>
      <c r="F35" s="37"/>
      <c r="G35" s="37"/>
      <c r="H35" s="37"/>
      <c r="I35" s="37"/>
      <c r="J35" s="37"/>
    </row>
    <row r="36" spans="1:10" ht="33.75" customHeight="1" x14ac:dyDescent="0.3">
      <c r="A36" s="15" t="s">
        <v>115</v>
      </c>
      <c r="B36" s="15" t="s">
        <v>74</v>
      </c>
      <c r="C36" s="15" t="s">
        <v>117</v>
      </c>
      <c r="D36" s="15" t="s">
        <v>116</v>
      </c>
      <c r="E36" s="15" t="s">
        <v>118</v>
      </c>
      <c r="F36" s="15" t="s">
        <v>215</v>
      </c>
      <c r="G36" s="15" t="s">
        <v>216</v>
      </c>
      <c r="H36" s="5" t="s">
        <v>217</v>
      </c>
      <c r="I36" s="5"/>
      <c r="J36" s="5"/>
    </row>
    <row r="37" spans="1:10" ht="30" customHeight="1" x14ac:dyDescent="0.3">
      <c r="A37" s="24">
        <v>1</v>
      </c>
      <c r="B37" s="17" t="s">
        <v>405</v>
      </c>
      <c r="C37" s="17" t="s">
        <v>406</v>
      </c>
      <c r="D37" s="25" t="s">
        <v>407</v>
      </c>
      <c r="E37" s="26">
        <v>46300</v>
      </c>
      <c r="F37" s="26">
        <v>46299</v>
      </c>
      <c r="G37" s="22" t="str">
        <f t="shared" ref="G37:G48" si="2">IF(OR(E37="",F37=""),"",IF(F37&lt;=E37,"Đúng hạn","Trễ"))</f>
        <v>Đúng hạn</v>
      </c>
      <c r="H37" s="3" t="s">
        <v>408</v>
      </c>
      <c r="I37" s="3"/>
      <c r="J37" s="3"/>
    </row>
    <row r="38" spans="1:10" ht="30" customHeight="1" x14ac:dyDescent="0.3">
      <c r="A38" s="24">
        <v>2</v>
      </c>
      <c r="B38" s="17"/>
      <c r="C38" s="17"/>
      <c r="D38" s="25"/>
      <c r="E38" s="26"/>
      <c r="F38" s="26"/>
      <c r="G38" s="22" t="str">
        <f t="shared" si="2"/>
        <v/>
      </c>
      <c r="H38" s="3"/>
      <c r="I38" s="3"/>
      <c r="J38" s="3"/>
    </row>
    <row r="39" spans="1:10" ht="30" customHeight="1" x14ac:dyDescent="0.3">
      <c r="A39" s="24">
        <v>3</v>
      </c>
      <c r="B39" s="17"/>
      <c r="C39" s="17"/>
      <c r="D39" s="25"/>
      <c r="E39" s="26"/>
      <c r="F39" s="26"/>
      <c r="G39" s="22" t="str">
        <f t="shared" si="2"/>
        <v/>
      </c>
      <c r="H39" s="3"/>
      <c r="I39" s="3"/>
      <c r="J39" s="3"/>
    </row>
    <row r="40" spans="1:10" ht="30" customHeight="1" x14ac:dyDescent="0.3">
      <c r="A40" s="24">
        <v>4</v>
      </c>
      <c r="B40" s="17"/>
      <c r="C40" s="17"/>
      <c r="D40" s="25"/>
      <c r="E40" s="26"/>
      <c r="F40" s="26"/>
      <c r="G40" s="22" t="str">
        <f t="shared" si="2"/>
        <v/>
      </c>
      <c r="H40" s="3"/>
      <c r="I40" s="3"/>
      <c r="J40" s="3"/>
    </row>
    <row r="41" spans="1:10" ht="30" customHeight="1" x14ac:dyDescent="0.3">
      <c r="A41" s="24">
        <v>5</v>
      </c>
      <c r="B41" s="17"/>
      <c r="C41" s="17"/>
      <c r="D41" s="25"/>
      <c r="E41" s="26"/>
      <c r="F41" s="26"/>
      <c r="G41" s="22" t="str">
        <f t="shared" si="2"/>
        <v/>
      </c>
      <c r="H41" s="3"/>
      <c r="I41" s="3"/>
      <c r="J41" s="3"/>
    </row>
    <row r="42" spans="1:10" ht="30" customHeight="1" x14ac:dyDescent="0.3">
      <c r="A42" s="24">
        <v>6</v>
      </c>
      <c r="B42" s="17"/>
      <c r="C42" s="17"/>
      <c r="D42" s="25"/>
      <c r="E42" s="26"/>
      <c r="F42" s="26"/>
      <c r="G42" s="22" t="str">
        <f t="shared" si="2"/>
        <v/>
      </c>
      <c r="H42" s="3"/>
      <c r="I42" s="3"/>
      <c r="J42" s="3"/>
    </row>
    <row r="43" spans="1:10" ht="30" customHeight="1" x14ac:dyDescent="0.3">
      <c r="A43" s="24">
        <v>7</v>
      </c>
      <c r="B43" s="17"/>
      <c r="C43" s="17"/>
      <c r="D43" s="25"/>
      <c r="E43" s="26"/>
      <c r="F43" s="26"/>
      <c r="G43" s="22" t="str">
        <f t="shared" si="2"/>
        <v/>
      </c>
      <c r="H43" s="3"/>
      <c r="I43" s="3"/>
      <c r="J43" s="3"/>
    </row>
    <row r="44" spans="1:10" ht="30" customHeight="1" x14ac:dyDescent="0.3">
      <c r="A44" s="24">
        <v>8</v>
      </c>
      <c r="B44" s="17"/>
      <c r="C44" s="17"/>
      <c r="D44" s="25"/>
      <c r="E44" s="26"/>
      <c r="F44" s="26"/>
      <c r="G44" s="22" t="str">
        <f t="shared" si="2"/>
        <v/>
      </c>
      <c r="H44" s="3"/>
      <c r="I44" s="3"/>
      <c r="J44" s="3"/>
    </row>
    <row r="45" spans="1:10" ht="30" customHeight="1" x14ac:dyDescent="0.3">
      <c r="A45" s="24">
        <v>9</v>
      </c>
      <c r="B45" s="17"/>
      <c r="C45" s="17"/>
      <c r="D45" s="25"/>
      <c r="E45" s="26"/>
      <c r="F45" s="26"/>
      <c r="G45" s="22" t="str">
        <f t="shared" si="2"/>
        <v/>
      </c>
      <c r="H45" s="3"/>
      <c r="I45" s="3"/>
      <c r="J45" s="3"/>
    </row>
    <row r="46" spans="1:10" ht="30" customHeight="1" x14ac:dyDescent="0.3">
      <c r="A46" s="24">
        <v>10</v>
      </c>
      <c r="B46" s="17"/>
      <c r="C46" s="17"/>
      <c r="D46" s="25"/>
      <c r="E46" s="26"/>
      <c r="F46" s="26"/>
      <c r="G46" s="22" t="str">
        <f t="shared" si="2"/>
        <v/>
      </c>
      <c r="H46" s="3"/>
      <c r="I46" s="3"/>
      <c r="J46" s="3"/>
    </row>
    <row r="47" spans="1:10" ht="30" customHeight="1" x14ac:dyDescent="0.3">
      <c r="A47" s="24">
        <v>11</v>
      </c>
      <c r="B47" s="17"/>
      <c r="C47" s="17"/>
      <c r="D47" s="25"/>
      <c r="E47" s="26"/>
      <c r="F47" s="26"/>
      <c r="G47" s="22" t="str">
        <f t="shared" si="2"/>
        <v/>
      </c>
      <c r="H47" s="3"/>
      <c r="I47" s="3"/>
      <c r="J47" s="3"/>
    </row>
    <row r="48" spans="1:10" ht="30" customHeight="1" x14ac:dyDescent="0.3">
      <c r="A48" s="24">
        <v>12</v>
      </c>
      <c r="B48" s="17"/>
      <c r="C48" s="17"/>
      <c r="D48" s="25"/>
      <c r="E48" s="26"/>
      <c r="F48" s="26"/>
      <c r="G48" s="22" t="str">
        <f t="shared" si="2"/>
        <v/>
      </c>
      <c r="H48" s="3"/>
      <c r="I48" s="3"/>
      <c r="J48" s="3"/>
    </row>
    <row r="50" spans="1:10" ht="15" customHeight="1" x14ac:dyDescent="0.3">
      <c r="B50" s="37" t="s">
        <v>221</v>
      </c>
      <c r="C50" s="37"/>
      <c r="D50" s="37"/>
      <c r="E50" s="37"/>
      <c r="F50" s="37"/>
      <c r="G50" s="37"/>
      <c r="H50" s="37"/>
      <c r="I50" s="37"/>
      <c r="J50" s="37"/>
    </row>
    <row r="51" spans="1:10" ht="33.75" customHeight="1" x14ac:dyDescent="0.3">
      <c r="A51" s="15" t="s">
        <v>115</v>
      </c>
      <c r="B51" s="15" t="s">
        <v>74</v>
      </c>
      <c r="C51" s="15" t="s">
        <v>117</v>
      </c>
      <c r="D51" s="15" t="s">
        <v>222</v>
      </c>
      <c r="E51" s="15" t="s">
        <v>140</v>
      </c>
      <c r="F51" s="15" t="s">
        <v>223</v>
      </c>
      <c r="G51" s="15" t="s">
        <v>139</v>
      </c>
      <c r="H51" s="15" t="s">
        <v>224</v>
      </c>
      <c r="I51" s="5" t="s">
        <v>142</v>
      </c>
      <c r="J51" s="5"/>
    </row>
    <row r="52" spans="1:10" ht="30" customHeight="1" x14ac:dyDescent="0.3">
      <c r="A52" s="24">
        <v>1</v>
      </c>
      <c r="B52" s="17" t="s">
        <v>409</v>
      </c>
      <c r="C52" s="17" t="s">
        <v>406</v>
      </c>
      <c r="D52" s="26">
        <v>46315</v>
      </c>
      <c r="E52" s="26">
        <v>46341</v>
      </c>
      <c r="F52" s="17" t="s">
        <v>410</v>
      </c>
      <c r="G52" s="25" t="s">
        <v>145</v>
      </c>
      <c r="H52" s="17" t="s">
        <v>411</v>
      </c>
      <c r="I52" s="3" t="s">
        <v>412</v>
      </c>
      <c r="J52" s="3"/>
    </row>
    <row r="53" spans="1:10" ht="30" customHeight="1" x14ac:dyDescent="0.3">
      <c r="A53" s="24">
        <v>2</v>
      </c>
      <c r="B53" s="17"/>
      <c r="C53" s="17"/>
      <c r="D53" s="26"/>
      <c r="E53" s="26"/>
      <c r="F53" s="17"/>
      <c r="G53" s="25"/>
      <c r="H53" s="17"/>
      <c r="I53" s="3"/>
      <c r="J53" s="3"/>
    </row>
    <row r="54" spans="1:10" ht="30" customHeight="1" x14ac:dyDescent="0.3">
      <c r="A54" s="24">
        <v>3</v>
      </c>
      <c r="B54" s="17"/>
      <c r="C54" s="17"/>
      <c r="D54" s="26"/>
      <c r="E54" s="26"/>
      <c r="F54" s="17"/>
      <c r="G54" s="25"/>
      <c r="H54" s="17"/>
      <c r="I54" s="3"/>
      <c r="J54" s="3"/>
    </row>
    <row r="55" spans="1:10" ht="30" customHeight="1" x14ac:dyDescent="0.3">
      <c r="A55" s="24">
        <v>4</v>
      </c>
      <c r="B55" s="17"/>
      <c r="C55" s="17"/>
      <c r="D55" s="26"/>
      <c r="E55" s="26"/>
      <c r="F55" s="17"/>
      <c r="G55" s="25"/>
      <c r="H55" s="17"/>
      <c r="I55" s="3"/>
      <c r="J55" s="3"/>
    </row>
    <row r="56" spans="1:10" ht="30" customHeight="1" x14ac:dyDescent="0.3">
      <c r="A56" s="24">
        <v>5</v>
      </c>
      <c r="B56" s="17"/>
      <c r="C56" s="17"/>
      <c r="D56" s="26"/>
      <c r="E56" s="26"/>
      <c r="F56" s="17"/>
      <c r="G56" s="25"/>
      <c r="H56" s="17"/>
      <c r="I56" s="3"/>
      <c r="J56" s="3"/>
    </row>
    <row r="57" spans="1:10" ht="30" customHeight="1" x14ac:dyDescent="0.3">
      <c r="A57" s="24">
        <v>6</v>
      </c>
      <c r="B57" s="17"/>
      <c r="C57" s="17"/>
      <c r="D57" s="26"/>
      <c r="E57" s="26"/>
      <c r="F57" s="17"/>
      <c r="G57" s="25"/>
      <c r="H57" s="17"/>
      <c r="I57" s="3"/>
      <c r="J57" s="3"/>
    </row>
    <row r="59" spans="1:10" ht="15" customHeight="1" x14ac:dyDescent="0.3">
      <c r="B59" s="37" t="s">
        <v>229</v>
      </c>
      <c r="C59" s="37"/>
      <c r="D59" s="37"/>
      <c r="E59" s="37"/>
      <c r="F59" s="37"/>
      <c r="G59" s="37"/>
      <c r="H59" s="37"/>
      <c r="I59" s="37"/>
      <c r="J59" s="37"/>
    </row>
    <row r="60" spans="1:10" ht="33.75" customHeight="1" x14ac:dyDescent="0.3">
      <c r="A60" s="15" t="s">
        <v>115</v>
      </c>
      <c r="B60" s="15" t="s">
        <v>74</v>
      </c>
      <c r="C60" s="15" t="s">
        <v>230</v>
      </c>
      <c r="D60" s="15" t="s">
        <v>231</v>
      </c>
      <c r="E60" s="15" t="s">
        <v>232</v>
      </c>
      <c r="F60" s="5" t="s">
        <v>224</v>
      </c>
      <c r="G60" s="5"/>
      <c r="H60" s="5"/>
      <c r="I60" s="5"/>
      <c r="J60" s="5"/>
    </row>
    <row r="61" spans="1:10" ht="30" customHeight="1" x14ac:dyDescent="0.3">
      <c r="A61" s="24">
        <v>1</v>
      </c>
      <c r="B61" s="17" t="s">
        <v>413</v>
      </c>
      <c r="C61" s="25" t="s">
        <v>234</v>
      </c>
      <c r="D61" s="17" t="s">
        <v>135</v>
      </c>
      <c r="E61" s="26">
        <v>46307</v>
      </c>
      <c r="F61" s="3" t="s">
        <v>414</v>
      </c>
      <c r="G61" s="3"/>
      <c r="H61" s="3"/>
      <c r="I61" s="3"/>
      <c r="J61" s="3"/>
    </row>
    <row r="62" spans="1:10" ht="30" customHeight="1" x14ac:dyDescent="0.3">
      <c r="A62" s="24">
        <v>2</v>
      </c>
      <c r="B62" s="17"/>
      <c r="C62" s="25"/>
      <c r="D62" s="17"/>
      <c r="E62" s="26"/>
      <c r="F62" s="3"/>
      <c r="G62" s="3"/>
      <c r="H62" s="3"/>
      <c r="I62" s="3"/>
      <c r="J62" s="3"/>
    </row>
    <row r="63" spans="1:10" ht="30" customHeight="1" x14ac:dyDescent="0.3">
      <c r="A63" s="24">
        <v>3</v>
      </c>
      <c r="B63" s="17"/>
      <c r="C63" s="25"/>
      <c r="D63" s="17"/>
      <c r="E63" s="26"/>
      <c r="F63" s="3"/>
      <c r="G63" s="3"/>
      <c r="H63" s="3"/>
      <c r="I63" s="3"/>
      <c r="J63" s="3"/>
    </row>
    <row r="64" spans="1:10" ht="30" customHeight="1" x14ac:dyDescent="0.3">
      <c r="A64" s="24">
        <v>4</v>
      </c>
      <c r="B64" s="17"/>
      <c r="C64" s="25"/>
      <c r="D64" s="17"/>
      <c r="E64" s="26"/>
      <c r="F64" s="3"/>
      <c r="G64" s="3"/>
      <c r="H64" s="3"/>
      <c r="I64" s="3"/>
      <c r="J64" s="3"/>
    </row>
    <row r="66" spans="1:10" ht="19.5" customHeight="1" x14ac:dyDescent="0.3">
      <c r="A66" s="12" t="s">
        <v>236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33.75" customHeight="1" x14ac:dyDescent="0.3">
      <c r="A67" s="15" t="s">
        <v>115</v>
      </c>
      <c r="B67" s="15" t="s">
        <v>154</v>
      </c>
      <c r="C67" s="5" t="s">
        <v>237</v>
      </c>
      <c r="D67" s="5"/>
      <c r="E67" s="5" t="s">
        <v>238</v>
      </c>
      <c r="F67" s="5"/>
      <c r="G67" s="5" t="s">
        <v>142</v>
      </c>
      <c r="H67" s="5"/>
      <c r="I67" s="15" t="s">
        <v>239</v>
      </c>
      <c r="J67" s="15" t="s">
        <v>118</v>
      </c>
    </row>
    <row r="68" spans="1:10" ht="30" customHeight="1" x14ac:dyDescent="0.3">
      <c r="A68" s="24">
        <v>1</v>
      </c>
      <c r="B68" s="17" t="s">
        <v>415</v>
      </c>
      <c r="C68" s="3" t="s">
        <v>416</v>
      </c>
      <c r="D68" s="3"/>
      <c r="E68" s="3" t="s">
        <v>417</v>
      </c>
      <c r="F68" s="3"/>
      <c r="G68" s="3" t="s">
        <v>418</v>
      </c>
      <c r="H68" s="3"/>
      <c r="I68" s="17" t="s">
        <v>378</v>
      </c>
      <c r="J68" s="26">
        <v>46336</v>
      </c>
    </row>
    <row r="69" spans="1:10" ht="30" customHeight="1" x14ac:dyDescent="0.3">
      <c r="A69" s="24">
        <v>2</v>
      </c>
      <c r="B69" s="17"/>
      <c r="C69" s="3"/>
      <c r="D69" s="3"/>
      <c r="E69" s="3"/>
      <c r="F69" s="3"/>
      <c r="G69" s="3"/>
      <c r="H69" s="3"/>
      <c r="I69" s="17"/>
      <c r="J69" s="26"/>
    </row>
    <row r="70" spans="1:10" ht="30" customHeight="1" x14ac:dyDescent="0.3">
      <c r="A70" s="24">
        <v>3</v>
      </c>
      <c r="B70" s="17"/>
      <c r="C70" s="3"/>
      <c r="D70" s="3"/>
      <c r="E70" s="3"/>
      <c r="F70" s="3"/>
      <c r="G70" s="3"/>
      <c r="H70" s="3"/>
      <c r="I70" s="17"/>
      <c r="J70" s="26"/>
    </row>
    <row r="71" spans="1:10" ht="30" customHeight="1" x14ac:dyDescent="0.3">
      <c r="A71" s="24">
        <v>4</v>
      </c>
      <c r="B71" s="17"/>
      <c r="C71" s="3"/>
      <c r="D71" s="3"/>
      <c r="E71" s="3"/>
      <c r="F71" s="3"/>
      <c r="G71" s="3"/>
      <c r="H71" s="3"/>
      <c r="I71" s="17"/>
      <c r="J71" s="26"/>
    </row>
    <row r="72" spans="1:10" ht="30" customHeight="1" x14ac:dyDescent="0.3">
      <c r="A72" s="24">
        <v>5</v>
      </c>
      <c r="B72" s="17"/>
      <c r="C72" s="3"/>
      <c r="D72" s="3"/>
      <c r="E72" s="3"/>
      <c r="F72" s="3"/>
      <c r="G72" s="3"/>
      <c r="H72" s="3"/>
      <c r="I72" s="17"/>
      <c r="J72" s="26"/>
    </row>
    <row r="74" spans="1:10" ht="19.5" customHeight="1" x14ac:dyDescent="0.3">
      <c r="A74" s="12" t="s">
        <v>244</v>
      </c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33.75" customHeight="1" x14ac:dyDescent="0.3">
      <c r="A75" s="15" t="s">
        <v>115</v>
      </c>
      <c r="B75" s="15" t="s">
        <v>245</v>
      </c>
      <c r="C75" s="15" t="s">
        <v>116</v>
      </c>
      <c r="D75" s="5" t="s">
        <v>246</v>
      </c>
      <c r="E75" s="5"/>
      <c r="F75" s="5"/>
      <c r="G75" s="15" t="s">
        <v>247</v>
      </c>
      <c r="H75" s="15" t="s">
        <v>248</v>
      </c>
      <c r="I75" s="5" t="s">
        <v>249</v>
      </c>
      <c r="J75" s="5"/>
    </row>
    <row r="76" spans="1:10" ht="30" customHeight="1" x14ac:dyDescent="0.3">
      <c r="A76" s="24">
        <v>1</v>
      </c>
      <c r="B76" s="17" t="s">
        <v>123</v>
      </c>
      <c r="C76" s="25" t="s">
        <v>375</v>
      </c>
      <c r="D76" s="3" t="s">
        <v>419</v>
      </c>
      <c r="E76" s="3"/>
      <c r="F76" s="3"/>
      <c r="G76" s="27">
        <v>0.45</v>
      </c>
      <c r="H76" s="25">
        <v>4</v>
      </c>
      <c r="I76" s="3" t="s">
        <v>420</v>
      </c>
      <c r="J76" s="3"/>
    </row>
    <row r="77" spans="1:10" ht="30" customHeight="1" x14ac:dyDescent="0.3">
      <c r="A77" s="24">
        <v>2</v>
      </c>
      <c r="B77" s="17"/>
      <c r="C77" s="25"/>
      <c r="D77" s="3"/>
      <c r="E77" s="3"/>
      <c r="F77" s="3"/>
      <c r="G77" s="27"/>
      <c r="H77" s="25"/>
      <c r="I77" s="3"/>
      <c r="J77" s="3"/>
    </row>
    <row r="78" spans="1:10" ht="30" customHeight="1" x14ac:dyDescent="0.3">
      <c r="A78" s="24">
        <v>3</v>
      </c>
      <c r="B78" s="17"/>
      <c r="C78" s="25"/>
      <c r="D78" s="3"/>
      <c r="E78" s="3"/>
      <c r="F78" s="3"/>
      <c r="G78" s="27"/>
      <c r="H78" s="25"/>
      <c r="I78" s="3"/>
      <c r="J78" s="3"/>
    </row>
    <row r="79" spans="1:10" ht="30" customHeight="1" x14ac:dyDescent="0.3">
      <c r="A79" s="24">
        <v>4</v>
      </c>
      <c r="B79" s="17"/>
      <c r="C79" s="25"/>
      <c r="D79" s="3"/>
      <c r="E79" s="3"/>
      <c r="F79" s="3"/>
      <c r="G79" s="27"/>
      <c r="H79" s="25"/>
      <c r="I79" s="3"/>
      <c r="J79" s="3"/>
    </row>
    <row r="80" spans="1:10" ht="30" customHeight="1" x14ac:dyDescent="0.3">
      <c r="A80" s="24">
        <v>5</v>
      </c>
      <c r="B80" s="17"/>
      <c r="C80" s="25"/>
      <c r="D80" s="3"/>
      <c r="E80" s="3"/>
      <c r="F80" s="3"/>
      <c r="G80" s="27"/>
      <c r="H80" s="25"/>
      <c r="I80" s="3"/>
      <c r="J80" s="3"/>
    </row>
    <row r="81" spans="1:10" ht="30" customHeight="1" x14ac:dyDescent="0.3">
      <c r="A81" s="24">
        <v>6</v>
      </c>
      <c r="B81" s="17"/>
      <c r="C81" s="25"/>
      <c r="D81" s="3"/>
      <c r="E81" s="3"/>
      <c r="F81" s="3"/>
      <c r="G81" s="27"/>
      <c r="H81" s="25"/>
      <c r="I81" s="3"/>
      <c r="J81" s="3"/>
    </row>
    <row r="82" spans="1:10" ht="30" customHeight="1" x14ac:dyDescent="0.3">
      <c r="A82" s="24">
        <v>7</v>
      </c>
      <c r="B82" s="17"/>
      <c r="C82" s="25"/>
      <c r="D82" s="3"/>
      <c r="E82" s="3"/>
      <c r="F82" s="3"/>
      <c r="G82" s="27"/>
      <c r="H82" s="25"/>
      <c r="I82" s="3"/>
      <c r="J82" s="3"/>
    </row>
    <row r="83" spans="1:10" ht="30" customHeight="1" x14ac:dyDescent="0.3">
      <c r="A83" s="24">
        <v>8</v>
      </c>
      <c r="B83" s="17"/>
      <c r="C83" s="25"/>
      <c r="D83" s="3"/>
      <c r="E83" s="3"/>
      <c r="F83" s="3"/>
      <c r="G83" s="27"/>
      <c r="H83" s="25"/>
      <c r="I83" s="3"/>
      <c r="J83" s="3"/>
    </row>
    <row r="84" spans="1:10" ht="15" customHeight="1" x14ac:dyDescent="0.3">
      <c r="A84" s="32"/>
      <c r="B84" s="8" t="s">
        <v>252</v>
      </c>
      <c r="C84" s="8"/>
      <c r="D84" s="8"/>
      <c r="E84" s="8"/>
      <c r="F84" s="8"/>
      <c r="G84" s="23">
        <f>SUM(G76:G83)</f>
        <v>0.45</v>
      </c>
      <c r="H84" s="2" t="str">
        <f>IF(G84=0,"",IF(ROUND(G84,4)=1,"Đủ 100%","Chưa đủ 100%"))</f>
        <v>Chưa đủ 100%</v>
      </c>
      <c r="I84" s="2"/>
      <c r="J84" s="2"/>
    </row>
    <row r="86" spans="1:10" ht="19.5" customHeight="1" x14ac:dyDescent="0.3">
      <c r="A86" s="12" t="s">
        <v>253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33.75" customHeight="1" x14ac:dyDescent="0.3">
      <c r="A87" s="15" t="s">
        <v>115</v>
      </c>
      <c r="B87" s="15" t="s">
        <v>254</v>
      </c>
      <c r="C87" s="15" t="s">
        <v>255</v>
      </c>
      <c r="D87" s="15" t="s">
        <v>117</v>
      </c>
      <c r="E87" s="15" t="s">
        <v>118</v>
      </c>
      <c r="F87" s="5" t="s">
        <v>256</v>
      </c>
      <c r="G87" s="5"/>
      <c r="H87" s="5"/>
      <c r="I87" s="5"/>
      <c r="J87" s="5"/>
    </row>
    <row r="88" spans="1:10" ht="30" customHeight="1" x14ac:dyDescent="0.3">
      <c r="A88" s="24">
        <v>1</v>
      </c>
      <c r="B88" s="17" t="s">
        <v>421</v>
      </c>
      <c r="C88" s="25" t="s">
        <v>258</v>
      </c>
      <c r="D88" s="17" t="s">
        <v>123</v>
      </c>
      <c r="E88" s="26">
        <v>46356</v>
      </c>
      <c r="F88" s="3" t="s">
        <v>422</v>
      </c>
      <c r="G88" s="3"/>
      <c r="H88" s="3"/>
      <c r="I88" s="3"/>
      <c r="J88" s="3"/>
    </row>
    <row r="89" spans="1:10" ht="30" customHeight="1" x14ac:dyDescent="0.3">
      <c r="A89" s="24">
        <v>2</v>
      </c>
      <c r="B89" s="17"/>
      <c r="C89" s="25"/>
      <c r="D89" s="17"/>
      <c r="E89" s="26"/>
      <c r="F89" s="3"/>
      <c r="G89" s="3"/>
      <c r="H89" s="3"/>
      <c r="I89" s="3"/>
      <c r="J89" s="3"/>
    </row>
    <row r="90" spans="1:10" ht="30" customHeight="1" x14ac:dyDescent="0.3">
      <c r="A90" s="24">
        <v>3</v>
      </c>
      <c r="B90" s="17"/>
      <c r="C90" s="25"/>
      <c r="D90" s="17"/>
      <c r="E90" s="26"/>
      <c r="F90" s="3"/>
      <c r="G90" s="3"/>
      <c r="H90" s="3"/>
      <c r="I90" s="3"/>
      <c r="J90" s="3"/>
    </row>
    <row r="91" spans="1:10" ht="30" customHeight="1" x14ac:dyDescent="0.3">
      <c r="A91" s="24">
        <v>4</v>
      </c>
      <c r="B91" s="17"/>
      <c r="C91" s="25"/>
      <c r="D91" s="17"/>
      <c r="E91" s="26"/>
      <c r="F91" s="3"/>
      <c r="G91" s="3"/>
      <c r="H91" s="3"/>
      <c r="I91" s="3"/>
      <c r="J91" s="3"/>
    </row>
    <row r="92" spans="1:10" ht="30" customHeight="1" x14ac:dyDescent="0.3">
      <c r="A92" s="24">
        <v>5</v>
      </c>
      <c r="B92" s="17"/>
      <c r="C92" s="25"/>
      <c r="D92" s="17"/>
      <c r="E92" s="26"/>
      <c r="F92" s="3"/>
      <c r="G92" s="3"/>
      <c r="H92" s="3"/>
      <c r="I92" s="3"/>
      <c r="J92" s="3"/>
    </row>
    <row r="93" spans="1:10" ht="30" customHeight="1" x14ac:dyDescent="0.3">
      <c r="A93" s="24">
        <v>6</v>
      </c>
      <c r="B93" s="17"/>
      <c r="C93" s="25"/>
      <c r="D93" s="17"/>
      <c r="E93" s="26"/>
      <c r="F93" s="3"/>
      <c r="G93" s="3"/>
      <c r="H93" s="3"/>
      <c r="I93" s="3"/>
      <c r="J93" s="3"/>
    </row>
    <row r="94" spans="1:10" ht="30" customHeight="1" x14ac:dyDescent="0.3">
      <c r="A94" s="24">
        <v>7</v>
      </c>
      <c r="B94" s="17"/>
      <c r="C94" s="25"/>
      <c r="D94" s="17"/>
      <c r="E94" s="26"/>
      <c r="F94" s="3"/>
      <c r="G94" s="3"/>
      <c r="H94" s="3"/>
      <c r="I94" s="3"/>
      <c r="J94" s="3"/>
    </row>
    <row r="95" spans="1:10" ht="30" customHeight="1" x14ac:dyDescent="0.3">
      <c r="A95" s="24">
        <v>8</v>
      </c>
      <c r="B95" s="17"/>
      <c r="C95" s="25"/>
      <c r="D95" s="17"/>
      <c r="E95" s="26"/>
      <c r="F95" s="3"/>
      <c r="G95" s="3"/>
      <c r="H95" s="3"/>
      <c r="I95" s="3"/>
      <c r="J95" s="3"/>
    </row>
    <row r="97" spans="1:10" ht="19.5" customHeight="1" x14ac:dyDescent="0.3">
      <c r="A97" s="12" t="s">
        <v>260</v>
      </c>
      <c r="B97" s="12"/>
      <c r="C97" s="12"/>
      <c r="D97" s="12"/>
      <c r="E97" s="12"/>
      <c r="F97" s="12"/>
      <c r="G97" s="12"/>
      <c r="H97" s="12"/>
      <c r="I97" s="12"/>
      <c r="J97" s="12"/>
    </row>
    <row r="98" spans="1:10" ht="33.75" customHeight="1" x14ac:dyDescent="0.3">
      <c r="A98" s="15" t="s">
        <v>115</v>
      </c>
      <c r="B98" s="15" t="s">
        <v>82</v>
      </c>
      <c r="C98" s="5" t="s">
        <v>224</v>
      </c>
      <c r="D98" s="5"/>
      <c r="E98" s="5"/>
      <c r="F98" s="5" t="s">
        <v>261</v>
      </c>
      <c r="G98" s="5"/>
      <c r="H98" s="15" t="s">
        <v>118</v>
      </c>
      <c r="I98" s="5" t="s">
        <v>131</v>
      </c>
      <c r="J98" s="5"/>
    </row>
    <row r="99" spans="1:10" ht="30" customHeight="1" x14ac:dyDescent="0.3">
      <c r="A99" s="24">
        <v>1</v>
      </c>
      <c r="B99" s="17" t="s">
        <v>423</v>
      </c>
      <c r="C99" s="3" t="s">
        <v>424</v>
      </c>
      <c r="D99" s="3"/>
      <c r="E99" s="3"/>
      <c r="F99" s="3" t="s">
        <v>135</v>
      </c>
      <c r="G99" s="3"/>
      <c r="H99" s="26">
        <v>46331</v>
      </c>
      <c r="I99" s="3"/>
      <c r="J99" s="3"/>
    </row>
    <row r="100" spans="1:10" ht="30" customHeight="1" x14ac:dyDescent="0.3">
      <c r="A100" s="24">
        <v>2</v>
      </c>
      <c r="B100" s="17"/>
      <c r="C100" s="3"/>
      <c r="D100" s="3"/>
      <c r="E100" s="3"/>
      <c r="F100" s="3"/>
      <c r="G100" s="3"/>
      <c r="H100" s="26"/>
      <c r="I100" s="3"/>
      <c r="J100" s="3"/>
    </row>
    <row r="101" spans="1:10" ht="30" customHeight="1" x14ac:dyDescent="0.3">
      <c r="A101" s="24">
        <v>3</v>
      </c>
      <c r="B101" s="17"/>
      <c r="C101" s="3"/>
      <c r="D101" s="3"/>
      <c r="E101" s="3"/>
      <c r="F101" s="3"/>
      <c r="G101" s="3"/>
      <c r="H101" s="26"/>
      <c r="I101" s="3"/>
      <c r="J101" s="3"/>
    </row>
    <row r="102" spans="1:10" ht="30" customHeight="1" x14ac:dyDescent="0.3">
      <c r="A102" s="24">
        <v>4</v>
      </c>
      <c r="B102" s="17"/>
      <c r="C102" s="3"/>
      <c r="D102" s="3"/>
      <c r="E102" s="3"/>
      <c r="F102" s="3"/>
      <c r="G102" s="3"/>
      <c r="H102" s="26"/>
      <c r="I102" s="3"/>
      <c r="J102" s="3"/>
    </row>
    <row r="103" spans="1:10" ht="30" customHeight="1" x14ac:dyDescent="0.3">
      <c r="A103" s="24">
        <v>5</v>
      </c>
      <c r="B103" s="17"/>
      <c r="C103" s="3"/>
      <c r="D103" s="3"/>
      <c r="E103" s="3"/>
      <c r="F103" s="3"/>
      <c r="G103" s="3"/>
      <c r="H103" s="26"/>
      <c r="I103" s="3"/>
      <c r="J103" s="3"/>
    </row>
  </sheetData>
  <mergeCells count="122">
    <mergeCell ref="C103:E103"/>
    <mergeCell ref="F103:G103"/>
    <mergeCell ref="I103:J103"/>
    <mergeCell ref="C100:E100"/>
    <mergeCell ref="F100:G100"/>
    <mergeCell ref="I100:J100"/>
    <mergeCell ref="C101:E101"/>
    <mergeCell ref="F101:G101"/>
    <mergeCell ref="I101:J101"/>
    <mergeCell ref="C102:E102"/>
    <mergeCell ref="F102:G102"/>
    <mergeCell ref="I102:J102"/>
    <mergeCell ref="F93:J93"/>
    <mergeCell ref="F94:J94"/>
    <mergeCell ref="F95:J95"/>
    <mergeCell ref="A97:J97"/>
    <mergeCell ref="C98:E98"/>
    <mergeCell ref="F98:G98"/>
    <mergeCell ref="I98:J98"/>
    <mergeCell ref="C99:E99"/>
    <mergeCell ref="F99:G99"/>
    <mergeCell ref="I99:J99"/>
    <mergeCell ref="B84:F84"/>
    <mergeCell ref="H84:J84"/>
    <mergeCell ref="A86:J86"/>
    <mergeCell ref="F87:J87"/>
    <mergeCell ref="F88:J88"/>
    <mergeCell ref="F89:J89"/>
    <mergeCell ref="F90:J90"/>
    <mergeCell ref="F91:J91"/>
    <mergeCell ref="F92:J92"/>
    <mergeCell ref="D79:F79"/>
    <mergeCell ref="I79:J79"/>
    <mergeCell ref="D80:F80"/>
    <mergeCell ref="I80:J80"/>
    <mergeCell ref="D81:F81"/>
    <mergeCell ref="I81:J81"/>
    <mergeCell ref="D82:F82"/>
    <mergeCell ref="I82:J82"/>
    <mergeCell ref="D83:F83"/>
    <mergeCell ref="I83:J83"/>
    <mergeCell ref="A74:J74"/>
    <mergeCell ref="D75:F75"/>
    <mergeCell ref="I75:J75"/>
    <mergeCell ref="D76:F76"/>
    <mergeCell ref="I76:J76"/>
    <mergeCell ref="D77:F77"/>
    <mergeCell ref="I77:J77"/>
    <mergeCell ref="D78:F78"/>
    <mergeCell ref="I78:J78"/>
    <mergeCell ref="C70:D70"/>
    <mergeCell ref="E70:F70"/>
    <mergeCell ref="G70:H70"/>
    <mergeCell ref="C71:D71"/>
    <mergeCell ref="E71:F71"/>
    <mergeCell ref="G71:H71"/>
    <mergeCell ref="C72:D72"/>
    <mergeCell ref="E72:F72"/>
    <mergeCell ref="G72:H72"/>
    <mergeCell ref="C67:D67"/>
    <mergeCell ref="E67:F67"/>
    <mergeCell ref="G67:H67"/>
    <mergeCell ref="C68:D68"/>
    <mergeCell ref="E68:F68"/>
    <mergeCell ref="G68:H68"/>
    <mergeCell ref="C69:D69"/>
    <mergeCell ref="E69:F69"/>
    <mergeCell ref="G69:H69"/>
    <mergeCell ref="I56:J56"/>
    <mergeCell ref="I57:J57"/>
    <mergeCell ref="B59:J59"/>
    <mergeCell ref="F60:J60"/>
    <mergeCell ref="F61:J61"/>
    <mergeCell ref="F62:J62"/>
    <mergeCell ref="F63:J63"/>
    <mergeCell ref="F64:J64"/>
    <mergeCell ref="A66:J66"/>
    <mergeCell ref="H46:J46"/>
    <mergeCell ref="H47:J47"/>
    <mergeCell ref="H48:J48"/>
    <mergeCell ref="B50:J50"/>
    <mergeCell ref="I51:J51"/>
    <mergeCell ref="I52:J52"/>
    <mergeCell ref="I53:J53"/>
    <mergeCell ref="I54:J54"/>
    <mergeCell ref="I55:J55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F28:J28"/>
    <mergeCell ref="F29:J29"/>
    <mergeCell ref="F30:J30"/>
    <mergeCell ref="F31:J31"/>
    <mergeCell ref="C32:D32"/>
    <mergeCell ref="F32:J32"/>
    <mergeCell ref="A34:J34"/>
    <mergeCell ref="B35:J35"/>
    <mergeCell ref="H36:J36"/>
    <mergeCell ref="C7:D7"/>
    <mergeCell ref="E7:F7"/>
    <mergeCell ref="G7:H7"/>
    <mergeCell ref="A9:J9"/>
    <mergeCell ref="A13:J13"/>
    <mergeCell ref="A24:J24"/>
    <mergeCell ref="F25:J25"/>
    <mergeCell ref="F26:J26"/>
    <mergeCell ref="F27:J27"/>
    <mergeCell ref="A1:J1"/>
    <mergeCell ref="A2:J2"/>
    <mergeCell ref="A4:J4"/>
    <mergeCell ref="C5:D5"/>
    <mergeCell ref="E5:F5"/>
    <mergeCell ref="G5:H5"/>
    <mergeCell ref="C6:D6"/>
    <mergeCell ref="E6:F6"/>
    <mergeCell ref="G6:H6"/>
  </mergeCells>
  <conditionalFormatting sqref="G37:G48">
    <cfRule type="cellIs" dxfId="5" priority="5" operator="equal">
      <formula>"Đúng hạn"</formula>
    </cfRule>
    <cfRule type="cellIs" dxfId="4" priority="6" operator="equal">
      <formula>"Trễ"</formula>
    </cfRule>
  </conditionalFormatting>
  <conditionalFormatting sqref="G52:G57">
    <cfRule type="cellIs" dxfId="3" priority="7" operator="equal">
      <formula>"Cao"</formula>
    </cfRule>
  </conditionalFormatting>
  <conditionalFormatting sqref="H15:H22">
    <cfRule type="cellIs" dxfId="2" priority="2" operator="equal">
      <formula>"Đạt"</formula>
    </cfRule>
    <cfRule type="cellIs" dxfId="1" priority="3" operator="equal">
      <formula>"Cần chú ý"</formula>
    </cfRule>
    <cfRule type="cellIs" dxfId="0" priority="4" operator="equal">
      <formula>"Không đạt"</formula>
    </cfRule>
  </conditionalFormatting>
  <dataValidations count="5">
    <dataValidation type="decimal" allowBlank="1" showErrorMessage="1" errorTitle="Giá trị không hợp lệ" error="Nhập từ 0% đến 100%" sqref="G76:G83" xr:uid="{00000000-0002-0000-0800-000000000000}">
      <formula1>0</formula1>
      <formula2>1</formula2>
    </dataValidation>
    <dataValidation type="decimal" allowBlank="1" showErrorMessage="1" errorTitle="Giá trị không hợp lệ" error="Nhập điểm từ 0 đến 10" sqref="D26:D30" xr:uid="{00000000-0002-0000-0800-000001000000}">
      <formula1>0</formula1>
      <formula2>10</formula2>
    </dataValidation>
    <dataValidation type="list" allowBlank="1" sqref="D15:D22" xr:uid="{00000000-0002-0000-0800-000002000000}">
      <formula1>"Cao hơn là tốt,Thấp hơn là tốt"</formula1>
      <formula2>0</formula2>
    </dataValidation>
    <dataValidation type="list" allowBlank="1" sqref="H76:H83" xr:uid="{00000000-0002-0000-0800-000007000000}">
      <formula1>"1,2,3,4,5"</formula1>
      <formula2>0</formula2>
    </dataValidation>
    <dataValidation type="list" allowBlank="1" sqref="C88:C95" xr:uid="{00000000-0002-0000-0800-000008000000}">
      <formula1>"R,A,C,I"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800-000003000000}">
          <x14:formula1>
            <xm:f>'Danh mục'!$N$5:$N$10</xm:f>
          </x14:formula1>
          <x14:formula2>
            <xm:f>0</xm:f>
          </x14:formula2>
          <xm:sqref>D37:D48 C76:C83</xm:sqref>
        </x14:dataValidation>
        <x14:dataValidation type="list" allowBlank="1" xr:uid="{00000000-0002-0000-0800-000004000000}">
          <x14:formula1>
            <xm:f>'Danh mục'!$D$5:$D$7</xm:f>
          </x14:formula1>
          <x14:formula2>
            <xm:f>0</xm:f>
          </x14:formula2>
          <xm:sqref>G52:G57</xm:sqref>
        </x14:dataValidation>
        <x14:dataValidation type="list" allowBlank="1" xr:uid="{00000000-0002-0000-0800-000005000000}">
          <x14:formula1>
            <xm:f>'Danh mục'!$I$5:$I$6</xm:f>
          </x14:formula1>
          <x14:formula2>
            <xm:f>0</xm:f>
          </x14:formula2>
          <xm:sqref>C61:C64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  <pageSetUpPr fitToPage="1"/>
  </sheetPr>
  <dimension ref="A1:O22"/>
  <sheetViews>
    <sheetView showGridLines="0" topLeftCell="E75" zoomScaleNormal="100" workbookViewId="0">
      <selection activeCell="O5" sqref="O5:O11"/>
    </sheetView>
  </sheetViews>
  <sheetFormatPr defaultColWidth="8.6640625" defaultRowHeight="14.4" x14ac:dyDescent="0.3"/>
  <cols>
    <col min="1" max="1" width="44" customWidth="1"/>
    <col min="2" max="2" width="38" customWidth="1"/>
    <col min="3" max="3" width="3" customWidth="1"/>
    <col min="4" max="4" width="14" customWidth="1"/>
    <col min="5" max="5" width="40" customWidth="1"/>
    <col min="6" max="6" width="3" customWidth="1"/>
    <col min="7" max="7" width="18" customWidth="1"/>
    <col min="8" max="8" width="3" customWidth="1"/>
    <col min="9" max="9" width="16" customWidth="1"/>
    <col min="10" max="10" width="3" customWidth="1"/>
    <col min="11" max="13" width="22" customWidth="1"/>
    <col min="14" max="14" width="24" customWidth="1"/>
    <col min="15" max="15" width="24.5546875" customWidth="1"/>
  </cols>
  <sheetData>
    <row r="1" spans="1:15" ht="16.2" customHeight="1" x14ac:dyDescent="0.3">
      <c r="A1" s="38" t="s">
        <v>425</v>
      </c>
      <c r="B1" s="38"/>
      <c r="C1" s="38"/>
      <c r="D1" s="38"/>
      <c r="E1" s="38"/>
      <c r="F1" s="38"/>
      <c r="G1" s="38"/>
      <c r="H1" s="38"/>
    </row>
    <row r="4" spans="1:15" ht="30" customHeight="1" x14ac:dyDescent="0.3">
      <c r="A4" s="15" t="s">
        <v>50</v>
      </c>
      <c r="B4" s="15" t="s">
        <v>426</v>
      </c>
      <c r="D4" s="15" t="s">
        <v>139</v>
      </c>
      <c r="E4" s="15" t="s">
        <v>426</v>
      </c>
      <c r="G4" s="15" t="s">
        <v>427</v>
      </c>
      <c r="I4" s="15" t="s">
        <v>428</v>
      </c>
      <c r="K4" s="15" t="s">
        <v>429</v>
      </c>
      <c r="L4" s="15" t="s">
        <v>430</v>
      </c>
      <c r="M4" s="15" t="s">
        <v>431</v>
      </c>
      <c r="N4" s="15" t="s">
        <v>432</v>
      </c>
      <c r="O4" s="39" t="s">
        <v>461</v>
      </c>
    </row>
    <row r="5" spans="1:15" x14ac:dyDescent="0.3">
      <c r="A5" s="17" t="s">
        <v>107</v>
      </c>
      <c r="B5" s="17" t="s">
        <v>433</v>
      </c>
      <c r="D5" s="17" t="s">
        <v>145</v>
      </c>
      <c r="E5" s="17" t="s">
        <v>434</v>
      </c>
      <c r="G5" s="17" t="s">
        <v>170</v>
      </c>
      <c r="I5" s="17" t="s">
        <v>360</v>
      </c>
      <c r="K5" s="17" t="s">
        <v>122</v>
      </c>
      <c r="L5" s="17" t="s">
        <v>300</v>
      </c>
      <c r="M5" s="17" t="s">
        <v>324</v>
      </c>
      <c r="N5" s="17" t="s">
        <v>375</v>
      </c>
      <c r="O5" s="40" t="s">
        <v>462</v>
      </c>
    </row>
    <row r="6" spans="1:15" x14ac:dyDescent="0.3">
      <c r="A6" s="17" t="s">
        <v>108</v>
      </c>
      <c r="B6" s="17" t="s">
        <v>435</v>
      </c>
      <c r="D6" s="17" t="s">
        <v>356</v>
      </c>
      <c r="E6" s="17" t="s">
        <v>436</v>
      </c>
      <c r="G6" s="17" t="s">
        <v>175</v>
      </c>
      <c r="I6" s="17" t="s">
        <v>234</v>
      </c>
      <c r="K6" s="17" t="s">
        <v>437</v>
      </c>
      <c r="L6" s="17" t="s">
        <v>270</v>
      </c>
      <c r="M6" s="17" t="s">
        <v>321</v>
      </c>
      <c r="N6" s="17" t="s">
        <v>438</v>
      </c>
      <c r="O6" s="40" t="s">
        <v>463</v>
      </c>
    </row>
    <row r="7" spans="1:15" x14ac:dyDescent="0.3">
      <c r="A7" s="17" t="s">
        <v>109</v>
      </c>
      <c r="B7" s="17" t="s">
        <v>439</v>
      </c>
      <c r="D7" s="17" t="s">
        <v>440</v>
      </c>
      <c r="E7" s="17" t="s">
        <v>441</v>
      </c>
      <c r="K7" s="17" t="s">
        <v>442</v>
      </c>
      <c r="L7" s="17" t="s">
        <v>267</v>
      </c>
      <c r="M7" s="17" t="s">
        <v>326</v>
      </c>
      <c r="N7" s="17" t="s">
        <v>407</v>
      </c>
      <c r="O7" s="41" t="s">
        <v>464</v>
      </c>
    </row>
    <row r="8" spans="1:15" x14ac:dyDescent="0.3">
      <c r="A8" s="17" t="s">
        <v>110</v>
      </c>
      <c r="B8" s="17" t="s">
        <v>443</v>
      </c>
      <c r="K8" s="17" t="s">
        <v>219</v>
      </c>
      <c r="L8" s="17" t="s">
        <v>444</v>
      </c>
      <c r="M8" s="17" t="s">
        <v>445</v>
      </c>
      <c r="N8" s="17" t="s">
        <v>446</v>
      </c>
      <c r="O8" s="42" t="s">
        <v>465</v>
      </c>
    </row>
    <row r="9" spans="1:15" x14ac:dyDescent="0.3">
      <c r="A9" s="17" t="s">
        <v>111</v>
      </c>
      <c r="B9" s="17" t="s">
        <v>447</v>
      </c>
      <c r="K9" s="17" t="s">
        <v>448</v>
      </c>
      <c r="L9" s="17" t="s">
        <v>449</v>
      </c>
      <c r="M9" s="17" t="s">
        <v>325</v>
      </c>
      <c r="N9" s="17" t="s">
        <v>450</v>
      </c>
      <c r="O9" s="42" t="s">
        <v>466</v>
      </c>
    </row>
    <row r="10" spans="1:15" x14ac:dyDescent="0.3">
      <c r="K10" s="17" t="s">
        <v>451</v>
      </c>
      <c r="L10" s="17" t="s">
        <v>271</v>
      </c>
      <c r="M10" s="17" t="s">
        <v>336</v>
      </c>
      <c r="N10" s="17" t="s">
        <v>378</v>
      </c>
      <c r="O10" s="42" t="s">
        <v>467</v>
      </c>
    </row>
    <row r="11" spans="1:15" x14ac:dyDescent="0.3">
      <c r="K11" s="17" t="s">
        <v>133</v>
      </c>
      <c r="L11" s="17" t="s">
        <v>272</v>
      </c>
    </row>
    <row r="15" spans="1:15" ht="15" customHeight="1" x14ac:dyDescent="0.3">
      <c r="A15" s="12" t="s">
        <v>452</v>
      </c>
      <c r="B15" s="12"/>
    </row>
    <row r="16" spans="1:15" x14ac:dyDescent="0.3">
      <c r="A16" s="15" t="s">
        <v>453</v>
      </c>
      <c r="B16" s="15" t="s">
        <v>454</v>
      </c>
    </row>
    <row r="17" spans="1:2" x14ac:dyDescent="0.3">
      <c r="A17" s="17" t="s">
        <v>455</v>
      </c>
      <c r="B17" s="35">
        <v>0.8</v>
      </c>
    </row>
    <row r="18" spans="1:2" x14ac:dyDescent="0.3">
      <c r="A18" s="17" t="s">
        <v>456</v>
      </c>
      <c r="B18" s="35">
        <v>1.2</v>
      </c>
    </row>
    <row r="19" spans="1:2" x14ac:dyDescent="0.3">
      <c r="A19" s="17" t="s">
        <v>457</v>
      </c>
      <c r="B19" s="36">
        <v>9</v>
      </c>
    </row>
    <row r="20" spans="1:2" x14ac:dyDescent="0.3">
      <c r="A20" s="17" t="s">
        <v>458</v>
      </c>
      <c r="B20" s="36">
        <v>7</v>
      </c>
    </row>
    <row r="21" spans="1:2" x14ac:dyDescent="0.3">
      <c r="A21" s="17" t="s">
        <v>459</v>
      </c>
      <c r="B21" s="36">
        <v>5</v>
      </c>
    </row>
    <row r="22" spans="1:2" ht="39.75" customHeight="1" x14ac:dyDescent="0.3">
      <c r="A22" s="10" t="s">
        <v>460</v>
      </c>
      <c r="B22" s="10"/>
    </row>
  </sheetData>
  <mergeCells count="3">
    <mergeCell ref="A1:H1"/>
    <mergeCell ref="A15:B15"/>
    <mergeCell ref="A22:B2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Hướng dẫn</vt:lpstr>
      <vt:lpstr>Marketing Content - Tuần</vt:lpstr>
      <vt:lpstr>Marketing Content - Tháng</vt:lpstr>
      <vt:lpstr>Tài chính Thu mua - Tuần</vt:lpstr>
      <vt:lpstr>Tài chính Thu mua - Tháng</vt:lpstr>
      <vt:lpstr>Program Event - Tuần</vt:lpstr>
      <vt:lpstr>Program Event - Tháng</vt:lpstr>
      <vt:lpstr>Nhân sự - Tuần</vt:lpstr>
      <vt:lpstr>Nhân sự - Tháng</vt:lpstr>
      <vt:lpstr>Danh mục</vt:lpstr>
      <vt:lpstr>'Marketing Content - Tuần'!Print_Titles</vt:lpstr>
      <vt:lpstr>'Marketing Content - Tháng'!Print_Titles</vt:lpstr>
      <vt:lpstr>'Nhân sự - Tuần'!Print_Titles</vt:lpstr>
      <vt:lpstr>'Nhân sự - Tháng'!Print_Titles</vt:lpstr>
      <vt:lpstr>'Program Event - Tuần'!Print_Titles</vt:lpstr>
      <vt:lpstr>'Program Event - Tháng'!Print_Titles</vt:lpstr>
      <vt:lpstr>'Tài chính Thu mua - Tuần'!Print_Titles</vt:lpstr>
      <vt:lpstr>'Tài chính Thu mua - Tháng'!Print_Titles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Minh</cp:lastModifiedBy>
  <cp:revision>0</cp:revision>
  <dcterms:created xsi:type="dcterms:W3CDTF">2026-10-10T03:14:36Z</dcterms:created>
  <dcterms:modified xsi:type="dcterms:W3CDTF">2026-10-10T03:21:13Z</dcterms:modified>
  <dc:language>en-US</dc:language>
</cp:coreProperties>
</file>